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73B821DF-419C-4DC7-8E14-BE558DC4307F}" xr6:coauthVersionLast="47" xr6:coauthVersionMax="47" xr10:uidLastSave="{00000000-0000-0000-0000-000000000000}"/>
  <bookViews>
    <workbookView xWindow="9920" yWindow="3240" windowWidth="26980" windowHeight="17510" xr2:uid="{EA127BBB-0D1C-4335-92AB-5909B3AEAC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 a="1"/>
  <c r="F7" i="1" a="1"/>
  <c r="F6" i="1" a="1"/>
  <c r="F5" i="1" a="1"/>
  <c r="F4" i="1" a="1"/>
  <c r="F2" i="1" a="1"/>
  <c r="A8" i="1"/>
  <c r="A7" i="1" s="1"/>
  <c r="A6" i="1" s="1"/>
  <c r="A5" i="1" s="1"/>
  <c r="A4" i="1" s="1"/>
  <c r="A3" i="1" s="1"/>
  <c r="A2" i="1" s="1"/>
  <c r="F3" i="1" a="1"/>
  <c r="G4" i="1" l="1"/>
  <c r="G3" i="1"/>
  <c r="G8" i="1"/>
  <c r="G6" i="1"/>
  <c r="G5" i="1"/>
  <c r="G7" i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<sst xmlns="http://schemas.openxmlformats.org/spreadsheetml/2006/main" count="52" uniqueCount="36">
  <si>
    <t>title</t>
  </si>
  <si>
    <t>date</t>
  </si>
  <si>
    <t>category</t>
  </si>
  <si>
    <t>slug</t>
  </si>
  <si>
    <t>excerpt</t>
  </si>
  <si>
    <t>content</t>
  </si>
  <si>
    <t>image</t>
  </si>
  <si>
    <t>South Bay Real Estate Trends for 2026</t>
  </si>
  <si>
    <t>Market Insights</t>
  </si>
  <si>
    <t>A detailed look at inventory shifts...</t>
  </si>
  <si>
    <t>Full paragraph text goes here...</t>
  </si>
  <si>
    <t>East Bay Real Estate Trends for 2026</t>
  </si>
  <si>
    <t>https://images.unsplash.com/photo-1600585154340-be6161a56a0c?auto=format&amp;fit=crop&amp;w=1200&amp;q=80</t>
  </si>
  <si>
    <t>https://images.unsplash.com/photo-1600596542815-ffad4c1539a9?auto=format&amp;fit=crop&amp;w=1200&amp;q=80</t>
  </si>
  <si>
    <t>https://images.unsplash.com/photo-1600607687939-ce8a6c25118c?auto=format&amp;fit=crop&amp;w=1200&amp;q=80</t>
  </si>
  <si>
    <t>https://images.unsplash.com/photo-1600566753376-12c8ab7fb75b?auto=format&amp;fit=crop&amp;w=1200&amp;q=80</t>
  </si>
  <si>
    <t>https://images.unsplash.com/photo-1600047509807-ba8f99d2cdde?auto=format&amp;fit=crop&amp;w=1200&amp;q=80</t>
  </si>
  <si>
    <t>https://images.unsplash.com/photo-1600573472591-ee6b68d14c68?auto=format&amp;fit=crop&amp;w=1200&amp;q=80</t>
  </si>
  <si>
    <t>no</t>
  </si>
  <si>
    <t>Technology</t>
  </si>
  <si>
    <t>Market Update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</si>
  <si>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</si>
  <si>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To examine current pricing trends, inventory volume, and competitive neighborhood dynamics, review the [Full San Jose Housing Market Report](https://www.redfin.com/city/17420/CA/San-Jose/housing-market).</t>
  </si>
  <si>
    <t xml:space="preserve">Full paragraph text goes here... [Harvard Housing Studies](https://www.jchs.harvard.edu) </t>
  </si>
  <si>
    <t>city</t>
  </si>
  <si>
    <t>San Jose</t>
  </si>
  <si>
    <t>Mountain View</t>
  </si>
  <si>
    <t>Santa Clara</t>
  </si>
  <si>
    <t>Milpitas</t>
  </si>
  <si>
    <t>Sunnyvale</t>
  </si>
  <si>
    <t>Los Altos</t>
  </si>
  <si>
    <t>South Bay Real Estate Trends for 2026::---</t>
  </si>
  <si>
    <t>South Bay Real Estate Trends for 2026?"</t>
  </si>
  <si>
    <t>South Bay Real Estate Trends for 2026: - ? / } # @ * / \</t>
  </si>
  <si>
    <t>South Bay Real Estate Trends for 2026? Article 1"</t>
  </si>
  <si>
    <t>check-duplicated-slug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</si>
</sst>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sz val="10"/>
      <name val="Calibri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8F7F4"/>
        <bgColor rgb="FFF8F7F4"/>
      </patternFill>
    </fill>
    <fill>
      <patternFill patternType="solid">
        <fgColor rgb="FF1A1A1A"/>
        <bgColor rgb="FF1A1A1A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quotePrefix="1" applyAlignment="1">
      <alignment horizontal="left"/>
    </xf>
    <xf numFmtId="0" fontId="1" fillId="2" borderId="1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quotePrefix="1" applyFont="1" applyFill="1" applyBorder="1" applyAlignment="1">
      <alignment horizontal="left" vertical="center"/>
    </xf>
    <xf numFmtId="0" fontId="2" fillId="3" borderId="2" xfId="0" quotePrefix="1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2" fillId="0" borderId="2" xfId="0" quotePrefix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left" vertical="center"/>
    </xf>
    <xf numFmtId="164" fontId="4" fillId="0" borderId="2" xfId="0" applyNumberFormat="1" applyFont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6" fillId="0" borderId="0" xfId="0" applyFont="1"/>
    <xf numFmtId="0" fontId="7" fillId="2" borderId="1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2" borderId="0" xfId="0" applyFill="1"/>
    <xf numFmtId="0" fontId="6" fillId="2" borderId="0" xfId="0" applyFont="1" applyFill="1"/>
    <xf numFmtId="0" fontId="0" fillId="2" borderId="0" xfId="0" quotePrefix="1" applyFill="1" applyAlignment="1">
      <alignment horizontal="left"/>
    </xf>
    <xf numFmtId="0" fontId="8" fillId="4" borderId="2" xfId="0" applyFont="1" applyFill="1" applyBorder="1" applyAlignment="1">
      <alignment horizontal="center" vertical="center" wrapText="1"/>
    </xf>
    <xf numFmtId="0" fontId="2" fillId="3" borderId="2" xfId="0" quotePrefix="1" applyFont="1" applyFill="1" applyBorder="1" applyAlignment="1">
      <alignment horizontal="left" vertical="top" wrapText="1"/>
    </xf>
    <xf numFmtId="0" fontId="2" fillId="0" borderId="2" xfId="0" quotePrefix="1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2" fillId="3" borderId="2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7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26D22-6483-47A0-A2DC-C8984312C4BF}">
  <dimension ref="A1:K17"/>
  <sheetViews>
    <sheetView tabSelected="1" zoomScale="90" zoomScaleNormal="90" workbookViewId="0">
      <pane ySplit="1" topLeftCell="A2" activePane="bottomLeft" state="frozen"/>
      <selection pane="bottomLeft" activeCell="F3" sqref="F3"/>
    </sheetView>
  </sheetViews>
  <sheetFormatPr defaultRowHeight="14.5" x14ac:dyDescent="0.35"/>
  <cols>
    <col min="1" max="1" width="6.6328125" customWidth="1"/>
    <col min="2" max="2" width="13.36328125" style="13" customWidth="1"/>
    <col min="3" max="3" width="24.81640625" customWidth="1"/>
    <col min="4" max="4" width="9.7265625" customWidth="1"/>
    <col min="5" max="5" width="14.08984375" customWidth="1"/>
    <col min="6" max="6" width="34.26953125" customWidth="1"/>
    <col min="7" max="7" width="10.1796875" customWidth="1"/>
    <col min="8" max="8" width="30.54296875" customWidth="1"/>
    <col min="9" max="9" width="38" customWidth="1"/>
    <col min="10" max="10" width="47.26953125" customWidth="1"/>
    <col min="11" max="11" width="2.90625" customWidth="1"/>
  </cols>
  <sheetData>
    <row r="1" spans="1:11" ht="60" customHeight="1" x14ac:dyDescent="0.35">
      <c r="A1" s="14" t="s">
        <v>18</v>
      </c>
      <c r="B1" s="12" t="s">
        <v>24</v>
      </c>
      <c r="C1" s="2" t="s">
        <v>0</v>
      </c>
      <c r="D1" s="2" t="s">
        <v>1</v>
      </c>
      <c r="E1" s="2" t="s">
        <v>2</v>
      </c>
      <c r="F1" s="14" t="s">
        <v>3</v>
      </c>
      <c r="G1" s="24" t="s">
        <v>35</v>
      </c>
      <c r="H1" s="2" t="s">
        <v>4</v>
      </c>
      <c r="I1" s="2" t="s">
        <v>5</v>
      </c>
      <c r="J1" s="2" t="s">
        <v>6</v>
      </c>
      <c r="K1" s="21"/>
    </row>
    <row r="2" spans="1:11" ht="44" customHeight="1" x14ac:dyDescent="0.35">
      <c r="A2" s="19">
        <f>MAX(A3:A1000) + 1</f>
        <v>7</v>
      </c>
      <c r="B2" s="10" t="s">
        <v>25</v>
      </c>
      <c r="C2" s="6" t="s">
        <v>34</v>
      </c>
      <c r="D2" s="17">
        <v>46307</v>
      </c>
      <c r="E2" s="3" t="s">
        <v>20</v>
      </c>
      <c r="F2" s="15" t="str" cm="1">
        <f t="array" ref="F2">LOWER(SUBSTITUTE(TRIM(_xlfn.TEXTJOIN("", TRUE, _xlfn.LET(_xlpm.clean, SUBSTITUTE(SUBSTITUTE(C2,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TEXT(D2, "yyyy-mm-dd")</f>
        <v>south-bay-real-estate-trends-for-2026-article-1-2026-10-12</v>
      </c>
      <c r="G2" s="29" t="str">
        <f t="shared" ref="G2:G3" si="0">IF(COUNTIF(F:F, F2) &gt; 1, "Yes", "---")</f>
        <v>---</v>
      </c>
      <c r="H2" s="3" t="s">
        <v>9</v>
      </c>
      <c r="I2" s="25" t="s">
        <v>21</v>
      </c>
      <c r="J2" s="4" t="s">
        <v>12</v>
      </c>
      <c r="K2" s="21"/>
    </row>
    <row r="3" spans="1:11" ht="44" customHeight="1" x14ac:dyDescent="0.35">
      <c r="A3" s="20">
        <f t="shared" ref="A3:A8" si="1">MAX(A4:A1001) + 1</f>
        <v>6</v>
      </c>
      <c r="B3" s="11" t="s">
        <v>25</v>
      </c>
      <c r="C3" s="8" t="s">
        <v>32</v>
      </c>
      <c r="D3" s="18">
        <v>46307</v>
      </c>
      <c r="E3" s="7" t="s">
        <v>19</v>
      </c>
      <c r="F3" s="16" t="str" cm="1">
        <f t="array" ref="F3">LOWER(SUBSTITUTE(TRIM(_xlfn.TEXTJOIN("", TRUE, _xlfn.LET(_xlpm.clean, SUBSTITUTE(SUBSTITUTE(C3,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TEXT(D3, "yyyy-mm-dd")</f>
        <v>south-bay-real-estate-trends-for-2026-2026-10-12</v>
      </c>
      <c r="G3" s="30" t="str">
        <f t="shared" si="0"/>
        <v>Yes</v>
      </c>
      <c r="H3" s="7" t="s">
        <v>9</v>
      </c>
      <c r="I3" s="26" t="s">
        <v>23</v>
      </c>
      <c r="J3" s="9" t="s">
        <v>13</v>
      </c>
      <c r="K3" s="21"/>
    </row>
    <row r="4" spans="1:11" ht="44" customHeight="1" x14ac:dyDescent="0.35">
      <c r="A4" s="19">
        <f t="shared" si="1"/>
        <v>5</v>
      </c>
      <c r="B4" s="10" t="s">
        <v>26</v>
      </c>
      <c r="C4" s="6" t="s">
        <v>32</v>
      </c>
      <c r="D4" s="17">
        <v>46307</v>
      </c>
      <c r="E4" s="3" t="s">
        <v>8</v>
      </c>
      <c r="F4" s="15" t="str" cm="1">
        <f t="array" ref="F4">LOWER(SUBSTITUTE(TRIM(_xlfn.TEXTJOIN("", TRUE, _xlfn.LET(_xlpm.clean, SUBSTITUTE(SUBSTITUTE(C4,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TEXT(D4, "yyyy-mm-dd")</f>
        <v>south-bay-real-estate-trends-for-2026-2026-10-12</v>
      </c>
      <c r="G4" s="29" t="str">
        <f>IF(COUNTIF(F:F, F4) &gt; 1, "Yes", "---")</f>
        <v>Yes</v>
      </c>
      <c r="H4" s="5" t="s">
        <v>9</v>
      </c>
      <c r="I4" s="25" t="s">
        <v>22</v>
      </c>
      <c r="J4" s="4" t="s">
        <v>14</v>
      </c>
      <c r="K4" s="21"/>
    </row>
    <row r="5" spans="1:11" ht="44" customHeight="1" x14ac:dyDescent="0.35">
      <c r="A5" s="20">
        <f t="shared" si="1"/>
        <v>4</v>
      </c>
      <c r="B5" s="11" t="s">
        <v>27</v>
      </c>
      <c r="C5" s="8" t="s">
        <v>11</v>
      </c>
      <c r="D5" s="18">
        <v>46304</v>
      </c>
      <c r="E5" s="7" t="s">
        <v>8</v>
      </c>
      <c r="F5" s="16" t="str" cm="1">
        <f t="array" ref="F5">LOWER(SUBSTITUTE(TRIM(_xlfn.TEXTJOIN("", TRUE, _xlfn.LET(_xlpm.clean, SUBSTITUTE(SUBSTITUTE(C5,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TEXT(D5, "yyyy-mm-dd")</f>
        <v>east-bay-real-estate-trends-for-2026-2026-10-09</v>
      </c>
      <c r="G5" s="30" t="str">
        <f t="shared" ref="G5:G8" si="2">IF(COUNTIF(F:F, F5) &gt; 1, "Yes", "---")</f>
        <v>---</v>
      </c>
      <c r="H5" s="7" t="s">
        <v>9</v>
      </c>
      <c r="I5" s="27" t="s">
        <v>10</v>
      </c>
      <c r="J5" s="9" t="s">
        <v>12</v>
      </c>
      <c r="K5" s="21"/>
    </row>
    <row r="6" spans="1:11" ht="44" customHeight="1" x14ac:dyDescent="0.35">
      <c r="A6" s="19">
        <f t="shared" si="1"/>
        <v>3</v>
      </c>
      <c r="B6" s="10" t="s">
        <v>28</v>
      </c>
      <c r="C6" s="6" t="s">
        <v>31</v>
      </c>
      <c r="D6" s="17">
        <v>46303</v>
      </c>
      <c r="E6" s="3" t="s">
        <v>8</v>
      </c>
      <c r="F6" s="15" t="str" cm="1">
        <f t="array" ref="F6">LOWER(SUBSTITUTE(TRIM(_xlfn.TEXTJOIN("", TRUE, _xlfn.LET(_xlpm.clean, SUBSTITUTE(SUBSTITUTE(C6,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TEXT(D6, "yyyy-mm-dd")</f>
        <v>south-bay-real-estate-trends-for-2026-2026-10-08</v>
      </c>
      <c r="G6" s="29" t="str">
        <f t="shared" si="2"/>
        <v>---</v>
      </c>
      <c r="H6" s="3" t="s">
        <v>9</v>
      </c>
      <c r="I6" s="28" t="s">
        <v>10</v>
      </c>
      <c r="J6" s="4" t="s">
        <v>15</v>
      </c>
      <c r="K6" s="21"/>
    </row>
    <row r="7" spans="1:11" ht="44" customHeight="1" x14ac:dyDescent="0.35">
      <c r="A7" s="20">
        <f t="shared" si="1"/>
        <v>2</v>
      </c>
      <c r="B7" s="11" t="s">
        <v>29</v>
      </c>
      <c r="C7" s="8" t="s">
        <v>33</v>
      </c>
      <c r="D7" s="18">
        <v>46302</v>
      </c>
      <c r="E7" s="7" t="s">
        <v>8</v>
      </c>
      <c r="F7" s="16" t="str" cm="1">
        <f t="array" ref="F7">LOWER(SUBSTITUTE(TRIM(_xlfn.TEXTJOIN("", TRUE, _xlfn.LET(_xlpm.clean, SUBSTITUTE(SUBSTITUTE(C7,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TEXT(D7, "yyyy-mm-dd")</f>
        <v>south-bay-real-estate-trends-for-2026-2026-10-07</v>
      </c>
      <c r="G7" s="30" t="str">
        <f t="shared" si="2"/>
        <v>---</v>
      </c>
      <c r="H7" s="7" t="s">
        <v>9</v>
      </c>
      <c r="I7" s="27" t="s">
        <v>10</v>
      </c>
      <c r="J7" s="9" t="s">
        <v>16</v>
      </c>
      <c r="K7" s="21"/>
    </row>
    <row r="8" spans="1:11" ht="44" customHeight="1" x14ac:dyDescent="0.35">
      <c r="A8" s="19">
        <f t="shared" si="1"/>
        <v>1</v>
      </c>
      <c r="B8" s="10" t="s">
        <v>30</v>
      </c>
      <c r="C8" s="4" t="s">
        <v>7</v>
      </c>
      <c r="D8" s="17">
        <v>46301</v>
      </c>
      <c r="E8" s="3" t="s">
        <v>8</v>
      </c>
      <c r="F8" s="15" t="str" cm="1">
        <f t="array" ref="F8">LOWER(SUBSTITUTE(TRIM(_xlfn.TEXTJOIN("", TRUE, _xlfn.LET(_xlpm.clean, SUBSTITUTE(SUBSTITUTE(C8,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TEXT(D8, "yyyy-mm-dd")</f>
        <v>south-bay-real-estate-trends-for-2026-2026-10-06</v>
      </c>
      <c r="G8" s="29" t="str">
        <f t="shared" si="2"/>
        <v>---</v>
      </c>
      <c r="H8" s="3" t="s">
        <v>9</v>
      </c>
      <c r="I8" s="28" t="s">
        <v>10</v>
      </c>
      <c r="J8" s="4" t="s">
        <v>17</v>
      </c>
      <c r="K8" s="21"/>
    </row>
    <row r="9" spans="1:11" x14ac:dyDescent="0.35">
      <c r="A9" s="21"/>
      <c r="B9" s="22"/>
      <c r="C9" s="21"/>
      <c r="D9" s="21"/>
      <c r="E9" s="21"/>
      <c r="F9" s="21"/>
      <c r="G9" s="21"/>
      <c r="H9" s="21"/>
      <c r="I9" s="21"/>
      <c r="J9" s="23"/>
      <c r="K9" s="23"/>
    </row>
    <row r="10" spans="1:11" x14ac:dyDescent="0.35">
      <c r="J10" s="1"/>
      <c r="K10" s="1"/>
    </row>
    <row r="11" spans="1:11" x14ac:dyDescent="0.35">
      <c r="J11" s="1"/>
      <c r="K11" s="1"/>
    </row>
    <row r="12" spans="1:11" x14ac:dyDescent="0.35">
      <c r="J12" s="1"/>
      <c r="K12" s="1"/>
    </row>
    <row r="13" spans="1:11" x14ac:dyDescent="0.35">
      <c r="J13" s="1"/>
      <c r="K13" s="1"/>
    </row>
    <row r="14" spans="1:11" x14ac:dyDescent="0.35">
      <c r="J14" s="1"/>
      <c r="K14" s="1"/>
    </row>
    <row r="15" spans="1:11" x14ac:dyDescent="0.35">
      <c r="J15" s="1"/>
      <c r="K15" s="1"/>
    </row>
    <row r="16" spans="1:11" x14ac:dyDescent="0.35">
      <c r="J16" s="1"/>
      <c r="K16" s="1"/>
    </row>
    <row r="17" spans="11:11" x14ac:dyDescent="0.35">
      <c r="K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Yap</dc:creator>
  <cp:lastModifiedBy>Alex Yap</cp:lastModifiedBy>
  <dcterms:created xsi:type="dcterms:W3CDTF">2026-10-15T02:33:23Z</dcterms:created>
  <dcterms:modified xsi:type="dcterms:W3CDTF">2026-10-22T07:39:42Z</dcterms:modified>
</cp:coreProperties>
</file>