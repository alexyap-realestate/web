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2oontherock8\Projects\alexyaphomes\src\data\"/>
    </mc:Choice>
  </mc:AlternateContent>
  <xr:revisionPtr revIDLastSave="0" documentId="13_ncr:1_{18B3A5E0-DEAD-487A-AA9B-90B26068D767}" xr6:coauthVersionLast="47" xr6:coauthVersionMax="47" xr10:uidLastSave="{00000000-0000-0000-0000-000000000000}"/>
  <bookViews>
    <workbookView xWindow="9640" yWindow="3250" windowWidth="26980" windowHeight="17510" xr2:uid="{EA127BBB-0D1C-4335-92AB-5909B3AEA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 a="1"/>
  <c r="F7" i="1" s="1"/>
  <c r="F2" i="1" a="1"/>
  <c r="F2" i="1" s="1"/>
  <c r="A8" i="1"/>
  <c r="A7" i="1" s="1"/>
  <c r="A6" i="1" s="1"/>
  <c r="A5" i="1" s="1"/>
  <c r="A4" i="1" s="1"/>
  <c r="A3" i="1" s="1"/>
  <c r="A2" i="1" s="1"/>
  <c r="F8" i="1" a="1"/>
  <c r="F8" i="1" s="1"/>
  <c r="F6" i="1" a="1"/>
  <c r="F6" i="1" s="1"/>
  <c r="F5" i="1" a="1"/>
  <c r="F5" i="1" s="1"/>
  <c r="F4" i="1" a="1"/>
  <c r="F4" i="1" s="1"/>
  <c r="F3" i="1" a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<sst xmlns="http://schemas.openxmlformats.org/spreadsheetml/2006/main" count="51" uniqueCount="37">
  <si>
    <t>title</t>
  </si>
  <si>
    <t>date</t>
  </si>
  <si>
    <t>category</t>
  </si>
  <si>
    <t>slug</t>
  </si>
  <si>
    <t>excerpt</t>
  </si>
  <si>
    <t>content</t>
  </si>
  <si>
    <t>image</t>
  </si>
  <si>
    <t>South Bay Real Estate Trends for 2026</t>
  </si>
  <si>
    <t>Market Insights</t>
  </si>
  <si>
    <t>A detailed look at inventory shifts...</t>
  </si>
  <si>
    <t>Full paragraph text goes here...</t>
  </si>
  <si>
    <t>North Bay Real Estate Trends for 2026</t>
  </si>
  <si>
    <t>West Bay Real Estate Trends for 2026</t>
  </si>
  <si>
    <t>East Bay Real Estate Trends for 2026</t>
  </si>
  <si>
    <t>https://images.unsplash.com/photo-1600585154340-be6161a56a0c?auto=format&amp;fit=crop&amp;w=1200&amp;q=80</t>
  </si>
  <si>
    <t>https://images.unsplash.com/photo-1600596542815-ffad4c1539a9?auto=format&amp;fit=crop&amp;w=1200&amp;q=80</t>
  </si>
  <si>
    <t>https://images.unsplash.com/photo-1600607687939-ce8a6c25118c?auto=format&amp;fit=crop&amp;w=1200&amp;q=80</t>
  </si>
  <si>
    <t>https://images.unsplash.com/photo-1600566753376-12c8ab7fb75b?auto=format&amp;fit=crop&amp;w=1200&amp;q=80</t>
  </si>
  <si>
    <t>https://images.unsplash.com/photo-1600047509807-ba8f99d2cdde?auto=format&amp;fit=crop&amp;w=1200&amp;q=80</t>
  </si>
  <si>
    <t>https://images.unsplash.com/photo-1600573472591-ee6b68d14c68?auto=format&amp;fit=crop&amp;w=1200&amp;q=80</t>
  </si>
  <si>
    <t>no</t>
  </si>
  <si>
    <t>Technology</t>
  </si>
  <si>
    <t>Market Update</t>
  </si>
  <si>
    <t>Deciding whether to sell or stay in your home is one of the biggest choices you will make. It takes careful planning to get the highest return on your equity.
## What It Can Take To Stay Put
**Important Notice:** Wanting to stay in a home you love makes sense, but most properties require *significant* updates to make single-level living truly functional long-term.
&gt; "A home gets the highest buyer attention in its first ten days on the market."
Here are three essential factors to evaluate:
- Single-story living options and step-free entries
- Doorway and hallway clearances
Strategic bathroom modifications
---
### Additional Perspectives
Before making any major renovations, read the latest research from the [Harvard Housing Studies](https://www.jchs.harvard.edu) to see which improvements offer real value.</t>
  </si>
  <si>
    <t>To examine current pricing trends, inventory volume, and competitive neighborhood dynamics, review the [Full San Jose Housing Market Report](https://www.redfin.com/city/17420/CA/San-Jose/housing-market).</t>
  </si>
  <si>
    <t xml:space="preserve">Full paragraph text goes here... [Harvard Housing Studies](https://www.jchs.harvard.edu) </t>
  </si>
  <si>
    <t>city</t>
  </si>
  <si>
    <t>San Jose</t>
  </si>
  <si>
    <t>Cupertino</t>
  </si>
  <si>
    <t>Mountain View</t>
  </si>
  <si>
    <t>Santa Clara</t>
  </si>
  <si>
    <t>Milpitas</t>
  </si>
  <si>
    <t>Sunnyvale</t>
  </si>
  <si>
    <t>Los Altos</t>
  </si>
  <si>
    <t>South Bay Real Estate Trends for 2026::---</t>
  </si>
  <si>
    <t>South Bay Real Estate Trends for 2026?"</t>
  </si>
  <si>
    <t>South Bay Real Estate Trends for 2026: - ? / } # @ * / 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</si>
</sst>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0"/>
      <color rgb="FF1A1A1A"/>
      <name val="Calibri"/>
      <family val="2"/>
    </font>
    <font>
      <sz val="10"/>
      <color rgb="FF0070C0"/>
      <name val="Calibri"/>
      <family val="2"/>
    </font>
    <font>
      <sz val="10"/>
      <name val="Calibri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8F7F4"/>
        <bgColor rgb="FFF8F7F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E0DED9"/>
      </left>
      <right style="thin">
        <color rgb="FFE0DED9"/>
      </right>
      <top style="thin">
        <color rgb="FFE0DED9"/>
      </top>
      <bottom style="thin">
        <color rgb="FFE0DE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quotePrefix="1" applyFont="1" applyFill="1" applyBorder="1" applyAlignment="1">
      <alignment horizontal="left" vertical="center"/>
    </xf>
    <xf numFmtId="0" fontId="2" fillId="3" borderId="2" xfId="0" quotePrefix="1" applyFont="1" applyFill="1" applyBorder="1" applyAlignment="1">
      <alignment horizontal="left" vertical="center" wrapText="1"/>
    </xf>
    <xf numFmtId="0" fontId="2" fillId="0" borderId="2" xfId="0" quotePrefix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quotePrefix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7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6D22-6483-47A0-A2DC-C8984312C4BF}">
  <dimension ref="A1:J17"/>
  <sheetViews>
    <sheetView tabSelected="1" zoomScale="90" zoomScaleNormal="90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2" max="2" width="13.08984375" style="14" customWidth="1"/>
    <col min="3" max="3" width="37.26953125" customWidth="1"/>
    <col min="4" max="4" width="9.7265625" customWidth="1"/>
    <col min="5" max="5" width="14.36328125" customWidth="1"/>
    <col min="6" max="6" width="48.26953125" customWidth="1"/>
    <col min="7" max="7" width="30.54296875" customWidth="1"/>
    <col min="8" max="8" width="38" customWidth="1"/>
    <col min="9" max="9" width="49.36328125" customWidth="1"/>
  </cols>
  <sheetData>
    <row r="1" spans="1:10" ht="24.5" customHeight="1" x14ac:dyDescent="0.35">
      <c r="A1" s="15" t="s">
        <v>20</v>
      </c>
      <c r="B1" s="13" t="s">
        <v>26</v>
      </c>
      <c r="C1" s="2" t="s">
        <v>0</v>
      </c>
      <c r="D1" s="2" t="s">
        <v>1</v>
      </c>
      <c r="E1" s="2" t="s">
        <v>2</v>
      </c>
      <c r="F1" s="15" t="s">
        <v>3</v>
      </c>
      <c r="G1" s="2" t="s">
        <v>4</v>
      </c>
      <c r="H1" s="2" t="s">
        <v>5</v>
      </c>
      <c r="I1" s="2" t="s">
        <v>6</v>
      </c>
    </row>
    <row r="2" spans="1:10" ht="44" customHeight="1" x14ac:dyDescent="0.35">
      <c r="A2" s="20">
        <f>MAX(A3:A1000) + 1</f>
        <v>7</v>
      </c>
      <c r="B2" s="11" t="s">
        <v>27</v>
      </c>
      <c r="C2" s="5" t="s">
        <v>35</v>
      </c>
      <c r="D2" s="18">
        <v>46307</v>
      </c>
      <c r="E2" s="3" t="s">
        <v>22</v>
      </c>
      <c r="F2" s="16" t="str" cm="1">
        <f t="array" ref="F2">LOWER(SUBSTITUTE(TRIM(_xlfn.TEXTJOIN("", TRUE, _xlfn.LET(_xlpm.raw, B2 &amp; " " &amp; C2, _xlpm.clean, SUBSTITUTE(SUBSTITUTE(_xlpm.raw, "?", ""), "*", ""), _xlpm.chars, MID(_xlpm.clean, _xlfn.SEQUENCE(LEN(_xlpm.clean)), 1), _xlfn._xlws.FILTER(_xlpm.chars, ISNUMBER(MATCH(_xlpm.chars, {"a","b","c","d","e","f","g","h","i","j","k","l","m","n","o","p","q","r","s","t","u","v","w","x","y","z","A","B","C","D","E","F","G","H","I","J","K","L","M","N","O","P","Q","R","S","T","U","V","W","X","Y","Z","0","1","2","3","4","5","6","7","8","9"," "}, 0)), "")))), " ", "-")) &amp; "-" &amp; TEXT(D2, "yyyy-mm-dd")</f>
        <v>san-jose-south-bay-real-estate-trends-for-2026-2026-10-12</v>
      </c>
      <c r="G2" s="3" t="s">
        <v>9</v>
      </c>
      <c r="H2" s="6" t="s">
        <v>23</v>
      </c>
      <c r="I2" s="4" t="s">
        <v>14</v>
      </c>
    </row>
    <row r="3" spans="1:10" ht="44" customHeight="1" x14ac:dyDescent="0.35">
      <c r="A3" s="21">
        <f t="shared" ref="A3:A8" si="0">MAX(A4:A1001) + 1</f>
        <v>6</v>
      </c>
      <c r="B3" s="12" t="s">
        <v>28</v>
      </c>
      <c r="C3" s="7" t="s">
        <v>11</v>
      </c>
      <c r="D3" s="19">
        <v>46306</v>
      </c>
      <c r="E3" s="8" t="s">
        <v>21</v>
      </c>
      <c r="F3" s="17" t="str" cm="1">
        <f t="array" ref="F3">LOWER(SUBSTITUTE(TRIM(_xlfn.TEXTJOIN("", TRUE, _xlfn.LET(_xlpm.clean, SUBSTITUTE(SUBSTITUTE(C3, "?", ""), "*", ""), _xlpm.chars, MID(_xlpm.clean, _xlfn.SEQUENCE(LEN(_xlpm.clean)), 1), _xlfn._xlws.FILTER(_xlpm.chars, ISNUMBER(MATCH(_xlpm.chars, {"a","b","c","d","e","f","g","h","i","j","k","l","m","n","o","p","q","r","s","t","u","v","w","x","y","z","A","B","C","D","E","F","G","H","I","J","K","L","M","N","O","P","Q","R","S","T","U","V","W","X","Y","Z","0","1","2","3","4","5","6","7","8","9"," "}, 0)), "")))), " ", "-")) &amp; "-" &amp; TEXT(D3, "yyyy-mm-dd")</f>
        <v>north-bay-real-estate-trends-for-2026-2026-10-11</v>
      </c>
      <c r="G3" s="8" t="s">
        <v>9</v>
      </c>
      <c r="H3" s="9" t="s">
        <v>25</v>
      </c>
      <c r="I3" s="10" t="s">
        <v>15</v>
      </c>
    </row>
    <row r="4" spans="1:10" ht="44" customHeight="1" x14ac:dyDescent="0.35">
      <c r="A4" s="20">
        <f t="shared" si="0"/>
        <v>5</v>
      </c>
      <c r="B4" s="11" t="s">
        <v>29</v>
      </c>
      <c r="C4" s="5" t="s">
        <v>12</v>
      </c>
      <c r="D4" s="18">
        <v>46305</v>
      </c>
      <c r="E4" s="3" t="s">
        <v>8</v>
      </c>
      <c r="F4" s="16" t="str" cm="1">
        <f t="array" ref="F4">LOWER(SUBSTITUTE(TRIM(_xlfn.TEXTJOIN("", TRUE, _xlfn.LET(_xlpm.clean, SUBSTITUTE(SUBSTITUTE(C4, "?", ""), "*", ""), _xlpm.chars, MID(_xlpm.clean, _xlfn.SEQUENCE(LEN(_xlpm.clean)), 1), _xlfn._xlws.FILTER(_xlpm.chars, ISNUMBER(MATCH(_xlpm.chars, {"a","b","c","d","e","f","g","h","i","j","k","l","m","n","o","p","q","r","s","t","u","v","w","x","y","z","A","B","C","D","E","F","G","H","I","J","K","L","M","N","O","P","Q","R","S","T","U","V","W","X","Y","Z","0","1","2","3","4","5","6","7","8","9"," "}, 0)), "")))), " ", "-")) &amp; "-" &amp; TEXT(D4, "yyyy-mm-dd")</f>
        <v>west-bay-real-estate-trends-for-2026-2026-10-10</v>
      </c>
      <c r="G4" s="5" t="s">
        <v>9</v>
      </c>
      <c r="H4" s="6" t="s">
        <v>24</v>
      </c>
      <c r="I4" s="4" t="s">
        <v>16</v>
      </c>
    </row>
    <row r="5" spans="1:10" ht="44" customHeight="1" x14ac:dyDescent="0.35">
      <c r="A5" s="21">
        <f t="shared" si="0"/>
        <v>4</v>
      </c>
      <c r="B5" s="12" t="s">
        <v>30</v>
      </c>
      <c r="C5" s="7" t="s">
        <v>13</v>
      </c>
      <c r="D5" s="19">
        <v>46304</v>
      </c>
      <c r="E5" s="8" t="s">
        <v>8</v>
      </c>
      <c r="F5" s="17" t="str" cm="1">
        <f t="array" ref="F5">LOWER(SUBSTITUTE(TRIM(_xlfn.TEXTJOIN("", TRUE, _xlfn.LET(_xlpm.clean, SUBSTITUTE(SUBSTITUTE(C5, "?", ""), "*", ""), _xlpm.chars, MID(_xlpm.clean, _xlfn.SEQUENCE(LEN(_xlpm.clean)), 1), _xlfn._xlws.FILTER(_xlpm.chars, ISNUMBER(MATCH(_xlpm.chars, {"a","b","c","d","e","f","g","h","i","j","k","l","m","n","o","p","q","r","s","t","u","v","w","x","y","z","A","B","C","D","E","F","G","H","I","J","K","L","M","N","O","P","Q","R","S","T","U","V","W","X","Y","Z","0","1","2","3","4","5","6","7","8","9"," "}, 0)), "")))), " ", "-")) &amp; "-" &amp; TEXT(D5, "yyyy-mm-dd")</f>
        <v>east-bay-real-estate-trends-for-2026-2026-10-09</v>
      </c>
      <c r="G5" s="8" t="s">
        <v>9</v>
      </c>
      <c r="H5" s="10" t="s">
        <v>10</v>
      </c>
      <c r="I5" s="10" t="s">
        <v>14</v>
      </c>
    </row>
    <row r="6" spans="1:10" ht="44" customHeight="1" x14ac:dyDescent="0.35">
      <c r="A6" s="20">
        <f t="shared" si="0"/>
        <v>3</v>
      </c>
      <c r="B6" s="11" t="s">
        <v>31</v>
      </c>
      <c r="C6" s="5" t="s">
        <v>34</v>
      </c>
      <c r="D6" s="18">
        <v>46303</v>
      </c>
      <c r="E6" s="3" t="s">
        <v>8</v>
      </c>
      <c r="F6" s="16" t="str" cm="1">
        <f t="array" ref="F6">LOWER(SUBSTITUTE(TRIM(_xlfn.TEXTJOIN("", TRUE, _xlfn.LET(_xlpm.clean, SUBSTITUTE(SUBSTITUTE(C6, "?", ""), "*", ""), _xlpm.chars, MID(_xlpm.clean, _xlfn.SEQUENCE(LEN(_xlpm.clean)), 1), _xlfn._xlws.FILTER(_xlpm.chars, ISNUMBER(MATCH(_xlpm.chars, {"a","b","c","d","e","f","g","h","i","j","k","l","m","n","o","p","q","r","s","t","u","v","w","x","y","z","A","B","C","D","E","F","G","H","I","J","K","L","M","N","O","P","Q","R","S","T","U","V","W","X","Y","Z","0","1","2","3","4","5","6","7","8","9"," "}, 0)), "")))), " ", "-")) &amp; "-" &amp; TEXT(D6, "yyyy-mm-dd")</f>
        <v>south-bay-real-estate-trends-for-2026-2026-10-08</v>
      </c>
      <c r="G6" s="3" t="s">
        <v>9</v>
      </c>
      <c r="H6" s="4" t="s">
        <v>10</v>
      </c>
      <c r="I6" s="4" t="s">
        <v>17</v>
      </c>
    </row>
    <row r="7" spans="1:10" ht="44" customHeight="1" x14ac:dyDescent="0.35">
      <c r="A7" s="21">
        <f t="shared" si="0"/>
        <v>2</v>
      </c>
      <c r="B7" s="12" t="s">
        <v>32</v>
      </c>
      <c r="C7" s="7" t="s">
        <v>36</v>
      </c>
      <c r="D7" s="19">
        <v>46302</v>
      </c>
      <c r="E7" s="8" t="s">
        <v>8</v>
      </c>
      <c r="F7" s="17" t="str" cm="1">
        <f t="array" ref="F7">LOWER(SUBSTITUTE(TRIM(_xlfn.TEXTJOIN("", TRUE, _xlfn.LET(_xlpm.clean, SUBSTITUTE(SUBSTITUTE(C7, "?", ""), "*", ""), _xlpm.chars, MID(_xlpm.clean, _xlfn.SEQUENCE(LEN(_xlpm.clean)), 1), _xlfn._xlws.FILTER(_xlpm.chars, ISNUMBER(MATCH(_xlpm.chars, {"a","b","c","d","e","f","g","h","i","j","k","l","m","n","o","p","q","r","s","t","u","v","w","x","y","z","A","B","C","D","E","F","G","H","I","J","K","L","M","N","O","P","Q","R","S","T","U","V","W","X","Y","Z","0","1","2","3","4","5","6","7","8","9"," "}, 0)), "")))), " ", "-")) &amp; "-" &amp; TEXT(D7, "yyyy-mm-dd")</f>
        <v>south-bay-real-estate-trends-for-2026-2026-10-07</v>
      </c>
      <c r="G7" s="8" t="s">
        <v>9</v>
      </c>
      <c r="H7" s="10" t="s">
        <v>10</v>
      </c>
      <c r="I7" s="10" t="s">
        <v>18</v>
      </c>
    </row>
    <row r="8" spans="1:10" ht="44" customHeight="1" x14ac:dyDescent="0.35">
      <c r="A8" s="20">
        <f t="shared" si="0"/>
        <v>1</v>
      </c>
      <c r="B8" s="11" t="s">
        <v>33</v>
      </c>
      <c r="C8" s="3" t="s">
        <v>7</v>
      </c>
      <c r="D8" s="18">
        <v>46301</v>
      </c>
      <c r="E8" s="3" t="s">
        <v>8</v>
      </c>
      <c r="F8" s="16" t="str" cm="1">
        <f t="array" ref="F8">LOWER(SUBSTITUTE(TRIM(_xlfn.TEXTJOIN("", TRUE, _xlfn.LET(_xlpm.clean, SUBSTITUTE(SUBSTITUTE(C8, "?", ""), "*", ""), _xlpm.chars, MID(_xlpm.clean, _xlfn.SEQUENCE(LEN(_xlpm.clean)), 1), _xlfn._xlws.FILTER(_xlpm.chars, ISNUMBER(MATCH(_xlpm.chars, {"a","b","c","d","e","f","g","h","i","j","k","l","m","n","o","p","q","r","s","t","u","v","w","x","y","z","A","B","C","D","E","F","G","H","I","J","K","L","M","N","O","P","Q","R","S","T","U","V","W","X","Y","Z","0","1","2","3","4","5","6","7","8","9"," "}, 0)), "")))), " ", "-")) &amp; "-" &amp; TEXT(D8, "yyyy-mm-dd")</f>
        <v>south-bay-real-estate-trends-for-2026-2026-10-06</v>
      </c>
      <c r="G8" s="3" t="s">
        <v>9</v>
      </c>
      <c r="H8" s="4" t="s">
        <v>10</v>
      </c>
      <c r="I8" s="4" t="s">
        <v>19</v>
      </c>
    </row>
    <row r="9" spans="1:10" x14ac:dyDescent="0.35">
      <c r="I9" s="1"/>
      <c r="J9" s="1"/>
    </row>
    <row r="10" spans="1:10" x14ac:dyDescent="0.35">
      <c r="I10" s="1"/>
      <c r="J10" s="1"/>
    </row>
    <row r="11" spans="1:10" x14ac:dyDescent="0.35">
      <c r="I11" s="1"/>
      <c r="J11" s="1"/>
    </row>
    <row r="12" spans="1:10" x14ac:dyDescent="0.35">
      <c r="I12" s="1"/>
      <c r="J12" s="1"/>
    </row>
    <row r="13" spans="1:10" x14ac:dyDescent="0.35">
      <c r="I13" s="1"/>
      <c r="J13" s="1"/>
    </row>
    <row r="14" spans="1:10" x14ac:dyDescent="0.35">
      <c r="I14" s="1"/>
      <c r="J14" s="1"/>
    </row>
    <row r="15" spans="1:10" x14ac:dyDescent="0.35">
      <c r="I15" s="1"/>
      <c r="J15" s="1"/>
    </row>
    <row r="16" spans="1:10" x14ac:dyDescent="0.35">
      <c r="I16" s="1"/>
      <c r="J16" s="1"/>
    </row>
    <row r="17" spans="10:10" x14ac:dyDescent="0.35">
      <c r="J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Yap</dc:creator>
  <cp:lastModifiedBy>Alex Yap</cp:lastModifiedBy>
  <dcterms:created xsi:type="dcterms:W3CDTF">2026-10-15T02:33:23Z</dcterms:created>
  <dcterms:modified xsi:type="dcterms:W3CDTF">2026-10-20T02:20:09Z</dcterms:modified>
</cp:coreProperties>
</file>