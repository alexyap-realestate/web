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2oontherock8\Projects\alexyaphomes\src\data\"/>
    </mc:Choice>
  </mc:AlternateContent>
  <xr:revisionPtr revIDLastSave="0" documentId="13_ncr:1_{4F8871A2-03F5-4C5E-A477-A32694992F2D}" xr6:coauthVersionLast="47" xr6:coauthVersionMax="47" xr10:uidLastSave="{00000000-0000-0000-0000-000000000000}"/>
  <bookViews>
    <workbookView xWindow="430" yWindow="2790" windowWidth="32080" windowHeight="15930" xr2:uid="{00000000-000D-0000-FFFF-FFFF00000000}"/>
  </bookViews>
  <sheets>
    <sheet name="Testimonia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3" i="1" l="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<sst xmlns="http://schemas.openxmlformats.org/spreadsheetml/2006/main" count="249" uniqueCount="97">
  <si>
    <t>client</t>
  </si>
  <si>
    <t>role</t>
  </si>
  <si>
    <t>category</t>
  </si>
  <si>
    <t>community</t>
  </si>
  <si>
    <t>headline</t>
  </si>
  <si>
    <t>quote</t>
  </si>
  <si>
    <t>tag</t>
  </si>
  <si>
    <t>featured</t>
  </si>
  <si>
    <t>Seller Representation</t>
  </si>
  <si>
    <t>seller</t>
  </si>
  <si>
    <t>Saratoga</t>
  </si>
  <si>
    <t>Unmatched Discretion and Historic Result</t>
  </si>
  <si>
    <t>Alex navigated our foothill estate sale with absolute poise. In a market where privacy was our highest priority, he curated private qualified showings and achieved a record price without ever causing disruption to our family.</t>
  </si>
  <si>
    <t>Off-Market Estate</t>
  </si>
  <si>
    <t>YES</t>
  </si>
  <si>
    <t>Buyer Advisory</t>
  </si>
  <si>
    <t>buyer</t>
  </si>
  <si>
    <t>Los Gatos</t>
  </si>
  <si>
    <t>Found Our Off-Market Sanctuary</t>
  </si>
  <si>
    <t>We searched for eighteen months before retaining Alex. Within three weeks, his hyper-local network opened the doors to an off-market property on Bear Creek Ridge that was exactly what we envisioned. An invaluable advisor.</t>
  </si>
  <si>
    <t>Buyer Win</t>
  </si>
  <si>
    <t>Kenneth L.</t>
  </si>
  <si>
    <t>Monte Sereno</t>
  </si>
  <si>
    <t>Strategic Valuation &amp; Flawless Execution</t>
  </si>
  <si>
    <t>Alex’s pricing strategy was backed by analytical rigor that standard comps simply don't capture. The marketing narrative and photography were museum-grade, drawing competitive offers from international buyers.</t>
  </si>
  <si>
    <t>Historic Comps</t>
  </si>
  <si>
    <t>Sophia V.</t>
  </si>
  <si>
    <t>Palo Alto</t>
  </si>
  <si>
    <t>Masterful Contract Negotiation</t>
  </si>
  <si>
    <t>In Crescent Park, competition is intense. Alex structured our offer with terms that gave the sellers total peace of mind while protecting our appraisal contingency. His reputation among South Bay brokers won us the home.</t>
  </si>
  <si>
    <t>Contingency Protected</t>
  </si>
  <si>
    <t>Robert &amp; Catherine M.</t>
  </si>
  <si>
    <t>Silver Creek Valley</t>
  </si>
  <si>
    <t>Country Club Luxury Specialist</t>
  </si>
  <si>
    <t>Alex presented our fairway estate with elevated video production and bespoke digital targeting. He handled every interaction with executive-level polish and secured an all-cash close within fourteen days.</t>
  </si>
  <si>
    <t>14-Day Close</t>
  </si>
  <si>
    <t>Julian &amp; Grace P.</t>
  </si>
  <si>
    <t>Los Altos Hills</t>
  </si>
  <si>
    <t>Deep Guidance on Complex Acreage</t>
  </si>
  <si>
    <t>Purchasing hillside acreage comes with zoning, easement, and geotech complexities. Alex’s depth of experience guided us through each inspection phase seamlessly. We couldn't imagine working with anyone else.</t>
  </si>
  <si>
    <t>Acreage Diligence</t>
  </si>
  <si>
    <t>Christine W.</t>
  </si>
  <si>
    <t>Almaden Valley</t>
  </si>
  <si>
    <t>Exceeded Every Expectation</t>
  </si>
  <si>
    <t>From pre-listing preparation to escrow closing, Alex managed the entire process effortlessly. His team’s staging aesthetic and eye for detail brought out the full architectural character of our home.</t>
  </si>
  <si>
    <t>Concierge Staging</t>
  </si>
  <si>
    <t>Thomas B.</t>
  </si>
  <si>
    <t>Campbell</t>
  </si>
  <si>
    <t>True Local Authority &amp; Trusted Partner</t>
  </si>
  <si>
    <t>Alex knows the South Bay block by block. He provided clear, honest advice when evaluating trade-offs between neighborhoods. His integrity and responsiveness are extraordinary.</t>
  </si>
  <si>
    <t>Local Knowledge</t>
  </si>
  <si>
    <t>Elena &amp; Viktor K.</t>
  </si>
  <si>
    <t>relocation</t>
  </si>
  <si>
    <t>San Jose</t>
  </si>
  <si>
    <t>Smooth Relocation Advisory</t>
  </si>
  <si>
    <t>Relocating out of state while selling a multimillion-dollar home can be daunting. Alex took ownership of every single detail, coordinating vendors and inspections so we could focus on our transition.</t>
  </si>
  <si>
    <t>Interstate Move</t>
  </si>
  <si>
    <t>Arthur &amp; Beverly C.</t>
  </si>
  <si>
    <t>Master of Foothill Acreage Sales</t>
  </si>
  <si>
    <t>Selling an architectural compound requires an agent who understands bespoke engineering and lifestyle nuances. Alex represented our property with quiet distinction and achieved our target price.</t>
  </si>
  <si>
    <t>Architectural Estate</t>
  </si>
  <si>
    <t>Naveen &amp; Priya R.</t>
  </si>
  <si>
    <t>Flawless Multi-Offer Strategy</t>
  </si>
  <si>
    <t>Alex’s relationship with the listing broker and sharp offer terms were the exact reason our offer was accepted among nine competing packages. His counsel protected our interests at every turn.</t>
  </si>
  <si>
    <t>Multi-Offer Win</t>
  </si>
  <si>
    <t>Jonathan D.</t>
  </si>
  <si>
    <t>White-Glove Service from Start to Finish</t>
  </si>
  <si>
    <t>Alex orchestrates pre-sale preparation like a seasoned conductor. The architectural photography, Twilight video, and private networking generated immediate qualified buyer interest before MLS launch.</t>
  </si>
  <si>
    <t>Private Preview</t>
  </si>
  <si>
    <t>Dr. Evelyn M.</t>
  </si>
  <si>
    <t>Patient, Thoughtful, and Extremely Knowledgeable</t>
  </si>
  <si>
    <t>We appreciated that Alex never rushed us into making an offer. When the right property surfaced, he conducted deep diligence on easements and city permits that saved us thousands.</t>
  </si>
  <si>
    <t>Permit &amp; Zoning</t>
  </si>
  <si>
    <t>Raymond &amp; Sandra H.</t>
  </si>
  <si>
    <t>Confidentiality Handled with Utmost Care</t>
  </si>
  <si>
    <t>Our sale required total privacy. Alex successfully marketed our residence off-market to vetted buyers, securing a non-contingent contract that met every single one of our terms.</t>
  </si>
  <si>
    <t>Confidential Sale</t>
  </si>
  <si>
    <t>Gregory &amp; Laura F.</t>
  </si>
  <si>
    <t>Willow Glen</t>
  </si>
  <si>
    <t>Found a True Heritage Home</t>
  </si>
  <si>
    <t>Alex’s appreciation for historic architecture helped us see the true potential of our 1928 Spanish revival. His contractor recommendations and valuation guidance were indispensable.</t>
  </si>
  <si>
    <t>Historic Revival</t>
  </si>
  <si>
    <t>Michael K.</t>
  </si>
  <si>
    <t>Sophisticated Global Digital Marketing</t>
  </si>
  <si>
    <t>The international exposure Alex generated for our estate brought inquiries from New York and overseas buyers. His negotiation skills delivered an extraordinary outcome.</t>
  </si>
  <si>
    <t>Global Campaign</t>
  </si>
  <si>
    <t>Clara &amp; Samuel B.</t>
  </si>
  <si>
    <t>Clear Guidance in a Shifting Market</t>
  </si>
  <si>
    <t>Alex provided empirical data and micro-market analysis that gave us complete confidence in our pricing offer. He is a genuine fiduciary who puts his clients first.</t>
  </si>
  <si>
    <t>Micro-Market Comps</t>
  </si>
  <si>
    <t>Harrison &amp; Victoria T.</t>
  </si>
  <si>
    <t>The Gold Standard for South Bay Real Estate</t>
  </si>
  <si>
    <t>Working with Alex was the best real estate decision we’ve ever made. Professional, articulate, deeply connected, and calm under pressure. We recommend him without hesitation.</t>
  </si>
  <si>
    <t>Full Representation</t>
  </si>
  <si>
    <t>Raymond &amp; Yvonne D.</t>
  </si>
  <si>
    <t>Bich &amp; Mai T.</t>
  </si>
  <si>
    <t>Featured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</si>
</sst>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sz val="10"/>
      <name val="Calibri"/>
      <family val="2"/>
    </font>
    <font>
      <b/>
      <sz val="11"/>
      <color rgb="FFFFFFFF"/>
      <name val="Calibri"/>
      <family val="2"/>
    </font>
    <font>
      <sz val="10"/>
      <color rgb="FF0070C0"/>
      <name val="Calibri"/>
      <family val="2"/>
    </font>
  </fonts>
  <fills count="4">
    <fill>
      <patternFill patternType="none"/>
    </fill>
    <fill>
      <patternFill patternType="gray125"/>
    </fill>
    <fill>
      <patternFill patternType="solid">
        <fgColor rgb="FF1A1A1A"/>
        <bgColor rgb="FF1A1A1A"/>
      </patternFill>
    </fill>
    <fill>
      <patternFill patternType="solid">
        <fgColor rgb="FFF8F7F4"/>
        <bgColor indexed="64"/>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2" fillId="0" borderId="1" xfId="0" applyFont="1" applyBorder="1" applyAlignment="1">
      <alignment vertical="top" wrapText="1"/>
    </xf>
    <xf numFmtId="0" fontId="3" fillId="2" borderId="0" xfId="0" applyFont="1" applyFill="1" applyAlignment="1">
      <alignment horizontal="center" vertical="center"/>
    </xf>
    <xf numFmtId="0" fontId="2" fillId="0" borderId="1" xfId="0" quotePrefix="1" applyFont="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2" fillId="3" borderId="1" xfId="0" quotePrefix="1" applyFont="1" applyFill="1" applyBorder="1" applyAlignment="1">
      <alignment horizontal="left" vertical="center"/>
    </xf>
    <xf numFmtId="0" fontId="2" fillId="3" borderId="1" xfId="0" applyFont="1" applyFill="1" applyBorder="1" applyAlignment="1">
      <alignment vertical="center"/>
    </xf>
    <xf numFmtId="0" fontId="2" fillId="3" borderId="1" xfId="0" applyFont="1" applyFill="1" applyBorder="1" applyAlignment="1">
      <alignment horizontal="center" vertical="center"/>
    </xf>
    <xf numFmtId="0" fontId="2" fillId="3" borderId="1" xfId="0" applyFont="1" applyFill="1" applyBorder="1" applyAlignment="1">
      <alignment vertical="top" wrapText="1"/>
    </xf>
    <xf numFmtId="0" fontId="4"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F8F7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workbookViewId="0">
      <pane ySplit="1" topLeftCell="A22" activePane="bottomLeft" state="frozen"/>
      <selection pane="bottomLeft" activeCell="A34" sqref="A34"/>
    </sheetView>
  </sheetViews>
  <sheetFormatPr defaultRowHeight="14.5" x14ac:dyDescent="0.35"/>
  <cols>
    <col min="1" max="1" width="21.81640625" customWidth="1"/>
    <col min="2" max="2" width="17.36328125" bestFit="1" customWidth="1"/>
    <col min="3" max="3" width="9.26953125" customWidth="1"/>
    <col min="4" max="4" width="14.7265625" bestFit="1" customWidth="1"/>
    <col min="5" max="5" width="40" bestFit="1" customWidth="1"/>
    <col min="6" max="6" width="65" customWidth="1"/>
    <col min="7" max="7" width="22" customWidth="1"/>
    <col min="8" max="8" width="8.08984375" bestFit="1" customWidth="1"/>
    <col min="9" max="9" width="13.81640625" bestFit="1" customWidth="1"/>
  </cols>
  <sheetData>
    <row r="1" spans="1:9" ht="26" customHeight="1" x14ac:dyDescent="0.35">
      <c r="A1" s="1" t="s">
        <v>0</v>
      </c>
      <c r="B1" s="1" t="s">
        <v>1</v>
      </c>
      <c r="C1" s="1" t="s">
        <v>2</v>
      </c>
      <c r="D1" s="1" t="s">
        <v>3</v>
      </c>
      <c r="E1" s="1" t="s">
        <v>4</v>
      </c>
      <c r="F1" s="1" t="s">
        <v>5</v>
      </c>
      <c r="G1" s="1" t="s">
        <v>6</v>
      </c>
      <c r="H1" s="1" t="s">
        <v>7</v>
      </c>
      <c r="I1" s="3" t="s">
        <v>96</v>
      </c>
    </row>
    <row r="2" spans="1:9" ht="44" customHeight="1" x14ac:dyDescent="0.35">
      <c r="A2" s="8" t="s">
        <v>94</v>
      </c>
      <c r="B2" s="9" t="s">
        <v>8</v>
      </c>
      <c r="C2" s="10" t="s">
        <v>9</v>
      </c>
      <c r="D2" s="8" t="s">
        <v>53</v>
      </c>
      <c r="E2" s="9" t="s">
        <v>11</v>
      </c>
      <c r="F2" s="11" t="s">
        <v>12</v>
      </c>
      <c r="G2" s="10" t="s">
        <v>13</v>
      </c>
      <c r="H2" s="10" t="s">
        <v>14</v>
      </c>
      <c r="I2" s="12" t="str">
        <f>IF(H2="YES", COUNTIF($H$2:H2, "YES") &amp; CHOOSE(MIN(COUNTIF($H$2:H2, "YES"), 4), "st", "nd", "rd", "th"), "")</f>
        <v>1st</v>
      </c>
    </row>
    <row r="3" spans="1:9" ht="44" customHeight="1" x14ac:dyDescent="0.35">
      <c r="A3" s="4" t="s">
        <v>95</v>
      </c>
      <c r="B3" s="5" t="s">
        <v>15</v>
      </c>
      <c r="C3" s="6" t="s">
        <v>16</v>
      </c>
      <c r="D3" s="5" t="s">
        <v>17</v>
      </c>
      <c r="E3" s="5" t="s">
        <v>18</v>
      </c>
      <c r="F3" s="2" t="s">
        <v>19</v>
      </c>
      <c r="G3" s="6" t="s">
        <v>20</v>
      </c>
      <c r="H3" s="6"/>
      <c r="I3" s="7" t="str">
        <f>IF(H3="YES", COUNTIF($H$2:H3, "YES") &amp; CHOOSE(MIN(COUNTIF($H$2:H3, "YES"), 4), "st", "nd", "rd", "th"), "")</f>
        <v/>
      </c>
    </row>
    <row r="4" spans="1:9" ht="44" customHeight="1" x14ac:dyDescent="0.35">
      <c r="A4" s="8" t="s">
        <v>21</v>
      </c>
      <c r="B4" s="9" t="s">
        <v>8</v>
      </c>
      <c r="C4" s="10" t="s">
        <v>9</v>
      </c>
      <c r="D4" s="8" t="s">
        <v>22</v>
      </c>
      <c r="E4" s="9" t="s">
        <v>23</v>
      </c>
      <c r="F4" s="11" t="s">
        <v>24</v>
      </c>
      <c r="G4" s="10" t="s">
        <v>25</v>
      </c>
      <c r="H4" s="10"/>
      <c r="I4" s="12" t="str">
        <f>IF(H4="YES", COUNTIF($H$2:H4, "YES") &amp; CHOOSE(MIN(COUNTIF($H$2:H4, "YES"), 4), "st", "nd", "rd", "th"), "")</f>
        <v/>
      </c>
    </row>
    <row r="5" spans="1:9" ht="44" customHeight="1" x14ac:dyDescent="0.35">
      <c r="A5" s="5" t="s">
        <v>26</v>
      </c>
      <c r="B5" s="5" t="s">
        <v>15</v>
      </c>
      <c r="C5" s="6" t="s">
        <v>16</v>
      </c>
      <c r="D5" s="5" t="s">
        <v>27</v>
      </c>
      <c r="E5" s="5" t="s">
        <v>28</v>
      </c>
      <c r="F5" s="2" t="s">
        <v>29</v>
      </c>
      <c r="G5" s="6" t="s">
        <v>30</v>
      </c>
      <c r="H5" s="6" t="s">
        <v>14</v>
      </c>
      <c r="I5" s="7" t="str">
        <f>IF(H5="YES", COUNTIF($H$2:H5, "YES") &amp; CHOOSE(MIN(COUNTIF($H$2:H5, "YES"), 4), "st", "nd", "rd", "th"), "")</f>
        <v>2nd</v>
      </c>
    </row>
    <row r="6" spans="1:9" ht="44" customHeight="1" x14ac:dyDescent="0.35">
      <c r="A6" s="8" t="s">
        <v>31</v>
      </c>
      <c r="B6" s="9" t="s">
        <v>8</v>
      </c>
      <c r="C6" s="10" t="s">
        <v>9</v>
      </c>
      <c r="D6" s="8" t="s">
        <v>32</v>
      </c>
      <c r="E6" s="9" t="s">
        <v>33</v>
      </c>
      <c r="F6" s="11" t="s">
        <v>34</v>
      </c>
      <c r="G6" s="10" t="s">
        <v>35</v>
      </c>
      <c r="H6" s="10"/>
      <c r="I6" s="12" t="str">
        <f>IF(H6="YES", COUNTIF($H$2:H6, "YES") &amp; CHOOSE(MIN(COUNTIF($H$2:H6, "YES"), 4), "st", "nd", "rd", "th"), "")</f>
        <v/>
      </c>
    </row>
    <row r="7" spans="1:9" ht="44" customHeight="1" x14ac:dyDescent="0.35">
      <c r="A7" s="5" t="s">
        <v>36</v>
      </c>
      <c r="B7" s="5" t="s">
        <v>15</v>
      </c>
      <c r="C7" s="6" t="s">
        <v>16</v>
      </c>
      <c r="D7" s="5" t="s">
        <v>37</v>
      </c>
      <c r="E7" s="5" t="s">
        <v>38</v>
      </c>
      <c r="F7" s="2" t="s">
        <v>39</v>
      </c>
      <c r="G7" s="6" t="s">
        <v>40</v>
      </c>
      <c r="H7" s="6"/>
      <c r="I7" s="7" t="str">
        <f>IF(H7="YES", COUNTIF($H$2:H7, "YES") &amp; CHOOSE(MIN(COUNTIF($H$2:H7, "YES"), 4), "st", "nd", "rd", "th"), "")</f>
        <v/>
      </c>
    </row>
    <row r="8" spans="1:9" ht="44" customHeight="1" x14ac:dyDescent="0.35">
      <c r="A8" s="8" t="s">
        <v>41</v>
      </c>
      <c r="B8" s="9" t="s">
        <v>8</v>
      </c>
      <c r="C8" s="10" t="s">
        <v>9</v>
      </c>
      <c r="D8" s="8" t="s">
        <v>42</v>
      </c>
      <c r="E8" s="9" t="s">
        <v>43</v>
      </c>
      <c r="F8" s="11" t="s">
        <v>44</v>
      </c>
      <c r="G8" s="10" t="s">
        <v>45</v>
      </c>
      <c r="H8" s="10" t="s">
        <v>14</v>
      </c>
      <c r="I8" s="12" t="str">
        <f>IF(H8="YES", COUNTIF($H$2:H8, "YES") &amp; CHOOSE(MIN(COUNTIF($H$2:H8, "YES"), 4), "st", "nd", "rd", "th"), "")</f>
        <v>3rd</v>
      </c>
    </row>
    <row r="9" spans="1:9" ht="44" customHeight="1" x14ac:dyDescent="0.35">
      <c r="A9" s="5" t="s">
        <v>46</v>
      </c>
      <c r="B9" s="5" t="s">
        <v>15</v>
      </c>
      <c r="C9" s="6" t="s">
        <v>16</v>
      </c>
      <c r="D9" s="5" t="s">
        <v>47</v>
      </c>
      <c r="E9" s="5" t="s">
        <v>48</v>
      </c>
      <c r="F9" s="2" t="s">
        <v>49</v>
      </c>
      <c r="G9" s="6" t="s">
        <v>50</v>
      </c>
      <c r="H9" s="6" t="s">
        <v>14</v>
      </c>
      <c r="I9" s="7" t="str">
        <f>IF(H9="YES", COUNTIF($H$2:H9, "YES") &amp; CHOOSE(MIN(COUNTIF($H$2:H9, "YES"), 4), "st", "nd", "rd", "th"), "")</f>
        <v>4th</v>
      </c>
    </row>
    <row r="10" spans="1:9" ht="44" customHeight="1" x14ac:dyDescent="0.35">
      <c r="A10" s="8" t="s">
        <v>51</v>
      </c>
      <c r="B10" s="9" t="s">
        <v>8</v>
      </c>
      <c r="C10" s="10" t="s">
        <v>52</v>
      </c>
      <c r="D10" s="8" t="s">
        <v>53</v>
      </c>
      <c r="E10" s="9" t="s">
        <v>54</v>
      </c>
      <c r="F10" s="11" t="s">
        <v>55</v>
      </c>
      <c r="G10" s="10" t="s">
        <v>56</v>
      </c>
      <c r="H10" s="10" t="s">
        <v>14</v>
      </c>
      <c r="I10" s="12" t="str">
        <f>IF(H10="YES", COUNTIF($H$2:H10, "YES") &amp; CHOOSE(MIN(COUNTIF($H$2:H10, "YES"), 4), "st", "nd", "rd", "th"), "")</f>
        <v>5th</v>
      </c>
    </row>
    <row r="11" spans="1:9" ht="44" customHeight="1" x14ac:dyDescent="0.35">
      <c r="A11" s="5" t="s">
        <v>57</v>
      </c>
      <c r="B11" s="5" t="s">
        <v>8</v>
      </c>
      <c r="C11" s="6" t="s">
        <v>9</v>
      </c>
      <c r="D11" s="5" t="s">
        <v>10</v>
      </c>
      <c r="E11" s="5" t="s">
        <v>58</v>
      </c>
      <c r="F11" s="2" t="s">
        <v>59</v>
      </c>
      <c r="G11" s="6" t="s">
        <v>60</v>
      </c>
      <c r="H11" s="6"/>
      <c r="I11" s="7" t="str">
        <f>IF(H11="YES", COUNTIF($H$2:H11, "YES") &amp; CHOOSE(MIN(COUNTIF($H$2:H11, "YES"), 4), "st", "nd", "rd", "th"), "")</f>
        <v/>
      </c>
    </row>
    <row r="12" spans="1:9" ht="44" customHeight="1" x14ac:dyDescent="0.35">
      <c r="A12" s="8" t="s">
        <v>61</v>
      </c>
      <c r="B12" s="9" t="s">
        <v>15</v>
      </c>
      <c r="C12" s="10" t="s">
        <v>16</v>
      </c>
      <c r="D12" s="8" t="s">
        <v>27</v>
      </c>
      <c r="E12" s="9" t="s">
        <v>62</v>
      </c>
      <c r="F12" s="11" t="s">
        <v>63</v>
      </c>
      <c r="G12" s="10" t="s">
        <v>64</v>
      </c>
      <c r="H12" s="10" t="s">
        <v>14</v>
      </c>
      <c r="I12" s="12" t="str">
        <f>IF(H12="YES", COUNTIF($H$2:H12, "YES") &amp; CHOOSE(MIN(COUNTIF($H$2:H12, "YES"), 4), "st", "nd", "rd", "th"), "")</f>
        <v>6th</v>
      </c>
    </row>
    <row r="13" spans="1:9" ht="44" customHeight="1" x14ac:dyDescent="0.35">
      <c r="A13" s="5" t="s">
        <v>65</v>
      </c>
      <c r="B13" s="5" t="s">
        <v>8</v>
      </c>
      <c r="C13" s="6" t="s">
        <v>9</v>
      </c>
      <c r="D13" s="5" t="s">
        <v>17</v>
      </c>
      <c r="E13" s="5" t="s">
        <v>66</v>
      </c>
      <c r="F13" s="2" t="s">
        <v>67</v>
      </c>
      <c r="G13" s="6" t="s">
        <v>68</v>
      </c>
      <c r="H13" s="6"/>
      <c r="I13" s="7" t="str">
        <f>IF(H13="YES", COUNTIF($H$2:H13, "YES") &amp; CHOOSE(MIN(COUNTIF($H$2:H13, "YES"), 4), "st", "nd", "rd", "th"), "")</f>
        <v/>
      </c>
    </row>
    <row r="14" spans="1:9" ht="44" customHeight="1" x14ac:dyDescent="0.35">
      <c r="A14" s="8" t="s">
        <v>69</v>
      </c>
      <c r="B14" s="9" t="s">
        <v>15</v>
      </c>
      <c r="C14" s="10" t="s">
        <v>16</v>
      </c>
      <c r="D14" s="8" t="s">
        <v>22</v>
      </c>
      <c r="E14" s="9" t="s">
        <v>70</v>
      </c>
      <c r="F14" s="11" t="s">
        <v>71</v>
      </c>
      <c r="G14" s="10" t="s">
        <v>72</v>
      </c>
      <c r="H14" s="10" t="s">
        <v>14</v>
      </c>
      <c r="I14" s="12" t="str">
        <f>IF(H14="YES", COUNTIF($H$2:H14, "YES") &amp; CHOOSE(MIN(COUNTIF($H$2:H14, "YES"), 4), "st", "nd", "rd", "th"), "")</f>
        <v>7th</v>
      </c>
    </row>
    <row r="15" spans="1:9" ht="44" customHeight="1" x14ac:dyDescent="0.35">
      <c r="A15" s="5" t="s">
        <v>73</v>
      </c>
      <c r="B15" s="5" t="s">
        <v>8</v>
      </c>
      <c r="C15" s="6" t="s">
        <v>9</v>
      </c>
      <c r="D15" s="5" t="s">
        <v>32</v>
      </c>
      <c r="E15" s="5" t="s">
        <v>74</v>
      </c>
      <c r="F15" s="2" t="s">
        <v>75</v>
      </c>
      <c r="G15" s="6" t="s">
        <v>76</v>
      </c>
      <c r="H15" s="6"/>
      <c r="I15" s="7" t="str">
        <f>IF(H15="YES", COUNTIF($H$2:H15, "YES") &amp; CHOOSE(MIN(COUNTIF($H$2:H15, "YES"), 4), "st", "nd", "rd", "th"), "")</f>
        <v/>
      </c>
    </row>
    <row r="16" spans="1:9" ht="44" customHeight="1" x14ac:dyDescent="0.35">
      <c r="A16" s="8" t="s">
        <v>77</v>
      </c>
      <c r="B16" s="9" t="s">
        <v>15</v>
      </c>
      <c r="C16" s="10" t="s">
        <v>16</v>
      </c>
      <c r="D16" s="8" t="s">
        <v>78</v>
      </c>
      <c r="E16" s="9" t="s">
        <v>79</v>
      </c>
      <c r="F16" s="11" t="s">
        <v>80</v>
      </c>
      <c r="G16" s="10" t="s">
        <v>81</v>
      </c>
      <c r="H16" s="10"/>
      <c r="I16" s="12" t="str">
        <f>IF(H16="YES", COUNTIF($H$2:H16, "YES") &amp; CHOOSE(MIN(COUNTIF($H$2:H16, "YES"), 4), "st", "nd", "rd", "th"), "")</f>
        <v/>
      </c>
    </row>
    <row r="17" spans="1:9" ht="44" customHeight="1" x14ac:dyDescent="0.35">
      <c r="A17" s="5" t="s">
        <v>82</v>
      </c>
      <c r="B17" s="5" t="s">
        <v>8</v>
      </c>
      <c r="C17" s="6" t="s">
        <v>9</v>
      </c>
      <c r="D17" s="5" t="s">
        <v>37</v>
      </c>
      <c r="E17" s="5" t="s">
        <v>83</v>
      </c>
      <c r="F17" s="2" t="s">
        <v>84</v>
      </c>
      <c r="G17" s="6" t="s">
        <v>85</v>
      </c>
      <c r="H17" s="6" t="s">
        <v>14</v>
      </c>
      <c r="I17" s="7" t="str">
        <f>IF(H17="YES", COUNTIF($H$2:H17, "YES") &amp; CHOOSE(MIN(COUNTIF($H$2:H17, "YES"), 4), "st", "nd", "rd", "th"), "")</f>
        <v>8th</v>
      </c>
    </row>
    <row r="18" spans="1:9" ht="44" customHeight="1" x14ac:dyDescent="0.35">
      <c r="A18" s="8" t="s">
        <v>86</v>
      </c>
      <c r="B18" s="9" t="s">
        <v>15</v>
      </c>
      <c r="C18" s="10" t="s">
        <v>16</v>
      </c>
      <c r="D18" s="8" t="s">
        <v>10</v>
      </c>
      <c r="E18" s="9" t="s">
        <v>87</v>
      </c>
      <c r="F18" s="11" t="s">
        <v>88</v>
      </c>
      <c r="G18" s="10" t="s">
        <v>89</v>
      </c>
      <c r="H18" s="10"/>
      <c r="I18" s="12" t="str">
        <f>IF(H18="YES", COUNTIF($H$2:H18, "YES") &amp; CHOOSE(MIN(COUNTIF($H$2:H18, "YES"), 4), "st", "nd", "rd", "th"), "")</f>
        <v/>
      </c>
    </row>
    <row r="19" spans="1:9" ht="44" customHeight="1" x14ac:dyDescent="0.35">
      <c r="A19" s="5" t="s">
        <v>90</v>
      </c>
      <c r="B19" s="5" t="s">
        <v>8</v>
      </c>
      <c r="C19" s="6" t="s">
        <v>9</v>
      </c>
      <c r="D19" s="5" t="s">
        <v>17</v>
      </c>
      <c r="E19" s="5" t="s">
        <v>91</v>
      </c>
      <c r="F19" s="2" t="s">
        <v>92</v>
      </c>
      <c r="G19" s="6" t="s">
        <v>93</v>
      </c>
      <c r="H19" s="6" t="s">
        <v>14</v>
      </c>
      <c r="I19" s="7" t="str">
        <f>IF(H19="YES", COUNTIF($H$2:H19, "YES") &amp; CHOOSE(MIN(COUNTIF($H$2:H19, "YES"), 4), "st", "nd", "rd", "th"), "")</f>
        <v>9th</v>
      </c>
    </row>
    <row r="20" spans="1:9" ht="44" customHeight="1" x14ac:dyDescent="0.35">
      <c r="A20" s="8" t="s">
        <v>86</v>
      </c>
      <c r="B20" s="9" t="s">
        <v>15</v>
      </c>
      <c r="C20" s="10" t="s">
        <v>16</v>
      </c>
      <c r="D20" s="8" t="s">
        <v>10</v>
      </c>
      <c r="E20" s="9" t="s">
        <v>87</v>
      </c>
      <c r="F20" s="11" t="s">
        <v>88</v>
      </c>
      <c r="G20" s="10" t="s">
        <v>89</v>
      </c>
      <c r="H20" s="10"/>
      <c r="I20" s="12" t="str">
        <f>IF(H20="YES", COUNTIF($H$2:H20, "YES") &amp; CHOOSE(MIN(COUNTIF($H$2:H20, "YES"), 4), "st", "nd", "rd", "th"), "")</f>
        <v/>
      </c>
    </row>
    <row r="21" spans="1:9" ht="44" customHeight="1" x14ac:dyDescent="0.35">
      <c r="A21" s="5" t="s">
        <v>90</v>
      </c>
      <c r="B21" s="5" t="s">
        <v>8</v>
      </c>
      <c r="C21" s="6" t="s">
        <v>9</v>
      </c>
      <c r="D21" s="5" t="s">
        <v>17</v>
      </c>
      <c r="E21" s="5" t="s">
        <v>91</v>
      </c>
      <c r="F21" s="2" t="s">
        <v>92</v>
      </c>
      <c r="G21" s="6" t="s">
        <v>93</v>
      </c>
      <c r="H21" s="6" t="s">
        <v>14</v>
      </c>
      <c r="I21" s="7" t="str">
        <f>IF(H21="YES", COUNTIF($H$2:H21, "YES") &amp; CHOOSE(MIN(COUNTIF($H$2:H21, "YES"), 4), "st", "nd", "rd", "th"), "")</f>
        <v>10th</v>
      </c>
    </row>
    <row r="22" spans="1:9" ht="44" customHeight="1" x14ac:dyDescent="0.35">
      <c r="A22" s="8" t="s">
        <v>86</v>
      </c>
      <c r="B22" s="9" t="s">
        <v>15</v>
      </c>
      <c r="C22" s="10" t="s">
        <v>16</v>
      </c>
      <c r="D22" s="8" t="s">
        <v>10</v>
      </c>
      <c r="E22" s="9" t="s">
        <v>87</v>
      </c>
      <c r="F22" s="11" t="s">
        <v>88</v>
      </c>
      <c r="G22" s="10" t="s">
        <v>89</v>
      </c>
      <c r="H22" s="10"/>
      <c r="I22" s="12" t="str">
        <f>IF(H22="YES", COUNTIF($H$2:H22, "YES") &amp; CHOOSE(MIN(COUNTIF($H$2:H22, "YES"), 4), "st", "nd", "rd", "th"), "")</f>
        <v/>
      </c>
    </row>
    <row r="23" spans="1:9" ht="44" customHeight="1" x14ac:dyDescent="0.35">
      <c r="A23" s="5" t="s">
        <v>90</v>
      </c>
      <c r="B23" s="5" t="s">
        <v>8</v>
      </c>
      <c r="C23" s="6" t="s">
        <v>9</v>
      </c>
      <c r="D23" s="5" t="s">
        <v>17</v>
      </c>
      <c r="E23" s="5" t="s">
        <v>91</v>
      </c>
      <c r="F23" s="2" t="s">
        <v>92</v>
      </c>
      <c r="G23" s="6" t="s">
        <v>93</v>
      </c>
      <c r="H23" s="6" t="s">
        <v>14</v>
      </c>
      <c r="I23" s="7" t="str">
        <f>IF(H23="YES", COUNTIF($H$2:H23, "YES") &amp; CHOOSE(MIN(COUNTIF($H$2:H23, "YES"), 4), "st", "nd", "rd", "th"), "")</f>
        <v>11th</v>
      </c>
    </row>
    <row r="24" spans="1:9" ht="44" customHeight="1" x14ac:dyDescent="0.35">
      <c r="A24" s="8" t="s">
        <v>86</v>
      </c>
      <c r="B24" s="9" t="s">
        <v>15</v>
      </c>
      <c r="C24" s="10" t="s">
        <v>16</v>
      </c>
      <c r="D24" s="8" t="s">
        <v>10</v>
      </c>
      <c r="E24" s="9" t="s">
        <v>87</v>
      </c>
      <c r="F24" s="11" t="s">
        <v>88</v>
      </c>
      <c r="G24" s="10" t="s">
        <v>89</v>
      </c>
      <c r="H24" s="10"/>
      <c r="I24" s="12" t="str">
        <f>IF(H24="YES", COUNTIF($H$2:H24, "YES") &amp; CHOOSE(MIN(COUNTIF($H$2:H24, "YES"), 4), "st", "nd", "rd", "th"), "")</f>
        <v/>
      </c>
    </row>
    <row r="25" spans="1:9" ht="44" customHeight="1" x14ac:dyDescent="0.35">
      <c r="A25" s="5" t="s">
        <v>90</v>
      </c>
      <c r="B25" s="5" t="s">
        <v>8</v>
      </c>
      <c r="C25" s="6" t="s">
        <v>9</v>
      </c>
      <c r="D25" s="5" t="s">
        <v>17</v>
      </c>
      <c r="E25" s="5" t="s">
        <v>91</v>
      </c>
      <c r="F25" s="2" t="s">
        <v>92</v>
      </c>
      <c r="G25" s="6" t="s">
        <v>93</v>
      </c>
      <c r="H25" s="6" t="s">
        <v>14</v>
      </c>
      <c r="I25" s="7" t="str">
        <f>IF(H25="YES", COUNTIF($H$2:H25, "YES") &amp; CHOOSE(MIN(COUNTIF($H$2:H25, "YES"), 4), "st", "nd", "rd", "th"), "")</f>
        <v>12th</v>
      </c>
    </row>
    <row r="26" spans="1:9" ht="44" customHeight="1" x14ac:dyDescent="0.35">
      <c r="A26" s="8" t="s">
        <v>86</v>
      </c>
      <c r="B26" s="9" t="s">
        <v>15</v>
      </c>
      <c r="C26" s="10" t="s">
        <v>16</v>
      </c>
      <c r="D26" s="8" t="s">
        <v>10</v>
      </c>
      <c r="E26" s="9" t="s">
        <v>87</v>
      </c>
      <c r="F26" s="11" t="s">
        <v>88</v>
      </c>
      <c r="G26" s="10" t="s">
        <v>89</v>
      </c>
      <c r="H26" s="10"/>
      <c r="I26" s="12" t="str">
        <f>IF(H26="YES", COUNTIF($H$2:H26, "YES") &amp; CHOOSE(MIN(COUNTIF($H$2:H26, "YES"), 4), "st", "nd", "rd", "th"), "")</f>
        <v/>
      </c>
    </row>
    <row r="27" spans="1:9" ht="44" customHeight="1" x14ac:dyDescent="0.35">
      <c r="A27" s="5" t="s">
        <v>90</v>
      </c>
      <c r="B27" s="5" t="s">
        <v>8</v>
      </c>
      <c r="C27" s="6" t="s">
        <v>9</v>
      </c>
      <c r="D27" s="5" t="s">
        <v>17</v>
      </c>
      <c r="E27" s="5" t="s">
        <v>91</v>
      </c>
      <c r="F27" s="2" t="s">
        <v>92</v>
      </c>
      <c r="G27" s="6" t="s">
        <v>93</v>
      </c>
      <c r="H27" s="6" t="s">
        <v>14</v>
      </c>
      <c r="I27" s="7" t="str">
        <f>IF(H27="YES", COUNTIF($H$2:H27, "YES") &amp; CHOOSE(MIN(COUNTIF($H$2:H27, "YES"), 4), "st", "nd", "rd", "th"), "")</f>
        <v>13th</v>
      </c>
    </row>
    <row r="28" spans="1:9" ht="44" customHeight="1" x14ac:dyDescent="0.35">
      <c r="A28" s="8" t="s">
        <v>86</v>
      </c>
      <c r="B28" s="9" t="s">
        <v>15</v>
      </c>
      <c r="C28" s="10" t="s">
        <v>16</v>
      </c>
      <c r="D28" s="8" t="s">
        <v>10</v>
      </c>
      <c r="E28" s="9" t="s">
        <v>87</v>
      </c>
      <c r="F28" s="11" t="s">
        <v>88</v>
      </c>
      <c r="G28" s="10" t="s">
        <v>89</v>
      </c>
      <c r="H28" s="10"/>
      <c r="I28" s="12" t="str">
        <f>IF(H28="YES", COUNTIF($H$2:H28, "YES") &amp; CHOOSE(MIN(COUNTIF($H$2:H28, "YES"), 4), "st", "nd", "rd", "th"), "")</f>
        <v/>
      </c>
    </row>
    <row r="29" spans="1:9" ht="44" customHeight="1" x14ac:dyDescent="0.35">
      <c r="A29" s="5" t="s">
        <v>90</v>
      </c>
      <c r="B29" s="5" t="s">
        <v>8</v>
      </c>
      <c r="C29" s="6" t="s">
        <v>9</v>
      </c>
      <c r="D29" s="5" t="s">
        <v>17</v>
      </c>
      <c r="E29" s="5" t="s">
        <v>91</v>
      </c>
      <c r="F29" s="2" t="s">
        <v>92</v>
      </c>
      <c r="G29" s="6" t="s">
        <v>93</v>
      </c>
      <c r="H29" s="6" t="s">
        <v>14</v>
      </c>
      <c r="I29" s="7" t="str">
        <f>IF(H29="YES", COUNTIF($H$2:H29, "YES") &amp; CHOOSE(MIN(COUNTIF($H$2:H29, "YES"), 4), "st", "nd", "rd", "th"), "")</f>
        <v>14th</v>
      </c>
    </row>
    <row r="30" spans="1:9" ht="44" customHeight="1" x14ac:dyDescent="0.35">
      <c r="A30" s="8" t="s">
        <v>86</v>
      </c>
      <c r="B30" s="9" t="s">
        <v>15</v>
      </c>
      <c r="C30" s="10" t="s">
        <v>16</v>
      </c>
      <c r="D30" s="8" t="s">
        <v>10</v>
      </c>
      <c r="E30" s="9" t="s">
        <v>87</v>
      </c>
      <c r="F30" s="11" t="s">
        <v>88</v>
      </c>
      <c r="G30" s="10" t="s">
        <v>89</v>
      </c>
      <c r="H30" s="10"/>
      <c r="I30" s="12" t="str">
        <f>IF(H30="YES", COUNTIF($H$2:H30, "YES") &amp; CHOOSE(MIN(COUNTIF($H$2:H30, "YES"), 4), "st", "nd", "rd", "th"), "")</f>
        <v/>
      </c>
    </row>
    <row r="31" spans="1:9" ht="44" customHeight="1" x14ac:dyDescent="0.35">
      <c r="A31" s="5" t="s">
        <v>90</v>
      </c>
      <c r="B31" s="5" t="s">
        <v>8</v>
      </c>
      <c r="C31" s="6" t="s">
        <v>9</v>
      </c>
      <c r="D31" s="5" t="s">
        <v>17</v>
      </c>
      <c r="E31" s="5" t="s">
        <v>91</v>
      </c>
      <c r="F31" s="2" t="s">
        <v>92</v>
      </c>
      <c r="G31" s="6" t="s">
        <v>93</v>
      </c>
      <c r="H31" s="6" t="s">
        <v>14</v>
      </c>
      <c r="I31" s="7" t="str">
        <f>IF(H31="YES", COUNTIF($H$2:H31, "YES") &amp; CHOOSE(MIN(COUNTIF($H$2:H31, "YES"), 4), "st", "nd", "rd", "th"), "")</f>
        <v>15th</v>
      </c>
    </row>
    <row r="32" spans="1:9" ht="44" customHeight="1" x14ac:dyDescent="0.35">
      <c r="A32" s="8" t="s">
        <v>86</v>
      </c>
      <c r="B32" s="9" t="s">
        <v>15</v>
      </c>
      <c r="C32" s="10" t="s">
        <v>16</v>
      </c>
      <c r="D32" s="8" t="s">
        <v>10</v>
      </c>
      <c r="E32" s="9" t="s">
        <v>87</v>
      </c>
      <c r="F32" s="11" t="s">
        <v>88</v>
      </c>
      <c r="G32" s="10" t="s">
        <v>89</v>
      </c>
      <c r="H32" s="10"/>
      <c r="I32" s="12" t="str">
        <f>IF(H32="YES", COUNTIF($H$2:H32, "YES") &amp; CHOOSE(MIN(COUNTIF($H$2:H32, "YES"), 4), "st", "nd", "rd", "th"), "")</f>
        <v/>
      </c>
    </row>
    <row r="33" spans="1:9" ht="44" customHeight="1" x14ac:dyDescent="0.35">
      <c r="A33" s="5" t="s">
        <v>90</v>
      </c>
      <c r="B33" s="5" t="s">
        <v>8</v>
      </c>
      <c r="C33" s="6" t="s">
        <v>9</v>
      </c>
      <c r="D33" s="5" t="s">
        <v>17</v>
      </c>
      <c r="E33" s="5" t="s">
        <v>91</v>
      </c>
      <c r="F33" s="2" t="s">
        <v>92</v>
      </c>
      <c r="G33" s="6" t="s">
        <v>93</v>
      </c>
      <c r="H33" s="6" t="s">
        <v>14</v>
      </c>
      <c r="I33" s="7" t="str">
        <f>IF(H33="YES", COUNTIF($H$2:H33, "YES") &amp; CHOOSE(MIN(COUNTIF($H$2:H33, "YES"), 4), "st", "nd", "rd", "th"), "")</f>
        <v>16th</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Testimonials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Yap</cp:lastModifiedBy>
  <dcterms:created xsi:type="dcterms:W3CDTF">2026-10-12T05:22:19Z</dcterms:created>
  <dcterms:modified xsi:type="dcterms:W3CDTF">2026-10-12T13:52:51Z</dcterms:modified>
</cp:coreProperties>
</file>