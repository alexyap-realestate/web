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h2oontherock8\Projects\alexyaphomes\src\data\"/>
    </mc:Choice>
  </mc:AlternateContent>
  <xr:revisionPtr revIDLastSave="0" documentId="13_ncr:1_{E16F40CB-0C42-41E6-B111-EE41E1FF29D5}" xr6:coauthVersionLast="47" xr6:coauthVersionMax="47" xr10:uidLastSave="{00000000-0000-0000-0000-000000000000}"/>
  <bookViews>
    <workbookView xWindow="8470" yWindow="2640" windowWidth="30000" windowHeight="17510" xr2:uid="{00000000-000D-0000-FFFF-FFFF00000000}"/>
  </bookViews>
  <sheets>
    <sheet name="Testimonial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33" i="1" l="1"/>
  <c r="J32" i="1"/>
  <c r="J31" i="1"/>
  <c r="J30" i="1"/>
  <c r="J29" i="1"/>
  <c r="J28" i="1"/>
  <c r="J27" i="1"/>
  <c r="J26" i="1"/>
  <c r="J25" i="1"/>
  <c r="J24" i="1"/>
  <c r="J23" i="1"/>
  <c r="J22" i="1"/>
  <c r="J21" i="1"/>
  <c r="J20" i="1"/>
  <c r="J19" i="1"/>
  <c r="J18" i="1"/>
  <c r="J17" i="1"/>
  <c r="J16" i="1"/>
  <c r="J15" i="1"/>
  <c r="J14" i="1"/>
  <c r="J13" i="1"/>
  <c r="J12" i="1"/>
  <c r="J11" i="1"/>
  <c r="J10" i="1"/>
  <c r="J9" i="1"/>
  <c r="J8" i="1"/>
  <c r="J7" i="1"/>
  <c r="J6" i="1"/>
  <c r="J4" i="1"/>
  <c r="J3" i="1"/>
  <c r="J2" i="1"/>
  <c r="J5" i="1"/>
  <c r="A2" i="1"/>
  <c r="A5" i="1"/>
  <c r="A4" i="1" s="1"/>
  <c r="A3" i="1" s="1"/>
  <c r="A33" i="1"/>
  <c r="A32" i="1"/>
  <c r="A31" i="1"/>
  <c r="A30" i="1" s="1"/>
  <c r="A29" i="1" s="1"/>
  <c r="A28" i="1" s="1"/>
  <c r="A27" i="1" s="1"/>
  <c r="A26" i="1" s="1"/>
  <c r="A25" i="1" s="1"/>
  <c r="A24" i="1" s="1"/>
  <c r="A23" i="1" s="1"/>
  <c r="A22" i="1" s="1"/>
  <c r="A21" i="1" s="1"/>
  <c r="A20" i="1" s="1"/>
  <c r="A19" i="1" s="1"/>
  <c r="A18" i="1" s="1"/>
  <c r="A17" i="1" s="1"/>
  <c r="A16" i="1" s="1"/>
  <c r="A15" i="1" s="1"/>
  <c r="A14" i="1" s="1"/>
  <c r="A13" i="1" s="1"/>
  <c r="A12" i="1" s="1"/>
  <c r="A11" i="1" s="1"/>
  <c r="A10" i="1" s="1"/>
  <c r="A9" i="1" s="1"/>
  <c r="A8" i="1" s="1"/>
  <c r="A7" i="1" s="1"/>
  <c r="A6" i="1" s="1"/>
</calcChain>
</file>

<file path=xl/sharedStrings.xml><?xml version="1.0" encoding="utf-8"?>
<sst xmlns="http://schemas.openxmlformats.org/spreadsheetml/2006/main" count="243" uniqueCount="100">
  <si>
    <t>client</t>
  </si>
  <si>
    <t>role</t>
  </si>
  <si>
    <t>category</t>
  </si>
  <si>
    <t>headline</t>
  </si>
  <si>
    <t>tag</t>
  </si>
  <si>
    <t>featured</t>
  </si>
  <si>
    <t>Seller Representation</t>
  </si>
  <si>
    <t>seller</t>
  </si>
  <si>
    <t>Saratoga</t>
  </si>
  <si>
    <t>Off-Market Estate</t>
  </si>
  <si>
    <t>YES</t>
  </si>
  <si>
    <t>Buyer Advisory</t>
  </si>
  <si>
    <t>buyer</t>
  </si>
  <si>
    <t>Los Gatos</t>
  </si>
  <si>
    <t>Buyer Win</t>
  </si>
  <si>
    <t>Kenneth L.</t>
  </si>
  <si>
    <t>Monte Sereno</t>
  </si>
  <si>
    <t>Strategic Valuation &amp; Flawless Execution</t>
  </si>
  <si>
    <t>Historic Comps</t>
  </si>
  <si>
    <t>Sophia V.</t>
  </si>
  <si>
    <t>Palo Alto</t>
  </si>
  <si>
    <t>Masterful Contract Negotiation</t>
  </si>
  <si>
    <t>In Crescent Park, competition is intense. Alex structured our offer with terms that gave the sellers total peace of mind while protecting our appraisal contingency. His reputation among South Bay brokers won us the home.</t>
  </si>
  <si>
    <t>Contingency Protected</t>
  </si>
  <si>
    <t>Robert &amp; Catherine M.</t>
  </si>
  <si>
    <t>Silver Creek Valley</t>
  </si>
  <si>
    <t>Country Club Luxury Specialist</t>
  </si>
  <si>
    <t>Alex presented our fairway estate with elevated video production and bespoke digital targeting. He handled every interaction with executive-level polish and secured an all-cash close within fourteen days.</t>
  </si>
  <si>
    <t>14-Day Close</t>
  </si>
  <si>
    <t>Julian &amp; Grace P.</t>
  </si>
  <si>
    <t>Los Altos Hills</t>
  </si>
  <si>
    <t>Deep Guidance on Complex Acreage</t>
  </si>
  <si>
    <t>Purchasing hillside acreage comes with zoning, easement, and geotech complexities. Alex’s depth of experience guided us through each inspection phase seamlessly. We couldn't imagine working with anyone else.</t>
  </si>
  <si>
    <t>Acreage Diligence</t>
  </si>
  <si>
    <t>Christine W.</t>
  </si>
  <si>
    <t>Almaden Valley</t>
  </si>
  <si>
    <t>Exceeded Every Expectation</t>
  </si>
  <si>
    <t>From pre-listing preparation to escrow closing, Alex managed the entire process effortlessly. His team’s staging aesthetic and eye for detail brought out the full architectural character of our home.</t>
  </si>
  <si>
    <t>Concierge Staging</t>
  </si>
  <si>
    <t>Thomas B.</t>
  </si>
  <si>
    <t>Campbell</t>
  </si>
  <si>
    <t>True Local Authority &amp; Trusted Partner</t>
  </si>
  <si>
    <t>Alex knows the South Bay block by block. He provided clear, honest advice when evaluating trade-offs between neighborhoods. His integrity and responsiveness are extraordinary.</t>
  </si>
  <si>
    <t>Local Knowledge</t>
  </si>
  <si>
    <t>Elena &amp; Viktor K.</t>
  </si>
  <si>
    <t>relocation</t>
  </si>
  <si>
    <t>San Jose</t>
  </si>
  <si>
    <t>Smooth Relocation Advisory</t>
  </si>
  <si>
    <t>Relocating out of state while selling a multimillion-dollar home can be daunting. Alex took ownership of every single detail, coordinating vendors and inspections so we could focus on our transition.</t>
  </si>
  <si>
    <t>Interstate Move</t>
  </si>
  <si>
    <t>Arthur &amp; Beverly C.</t>
  </si>
  <si>
    <t>Master of Foothill Acreage Sales</t>
  </si>
  <si>
    <t>Selling an architectural compound requires an agent who understands bespoke engineering and lifestyle nuances. Alex represented our property with quiet distinction and achieved our target price.</t>
  </si>
  <si>
    <t>Architectural Estate</t>
  </si>
  <si>
    <t>Naveen &amp; Priya R.</t>
  </si>
  <si>
    <t>Flawless Multi-Offer Strategy</t>
  </si>
  <si>
    <t>Alex’s relationship with the listing broker and sharp offer terms were the exact reason our offer was accepted among nine competing packages. His counsel protected our interests at every turn.</t>
  </si>
  <si>
    <t>Multi-Offer Win</t>
  </si>
  <si>
    <t>Jonathan D.</t>
  </si>
  <si>
    <t>White-Glove Service from Start to Finish</t>
  </si>
  <si>
    <t>Alex orchestrates pre-sale preparation like a seasoned conductor. The architectural photography, Twilight video, and private networking generated immediate qualified buyer interest before MLS launch.</t>
  </si>
  <si>
    <t>Private Preview</t>
  </si>
  <si>
    <t>Dr. Evelyn M.</t>
  </si>
  <si>
    <t>Patient, Thoughtful, and Extremely Knowledgeable</t>
  </si>
  <si>
    <t>We appreciated that Alex never rushed us into making an offer. When the right property surfaced, he conducted deep diligence on easements and city permits that saved us thousands.</t>
  </si>
  <si>
    <t>Permit &amp; Zoning</t>
  </si>
  <si>
    <t>Raymond &amp; Sandra H.</t>
  </si>
  <si>
    <t>Confidentiality Handled with Utmost Care</t>
  </si>
  <si>
    <t>Our sale required total privacy. Alex successfully marketed our residence off-market to vetted buyers, securing a non-contingent contract that met every single one of our terms.</t>
  </si>
  <si>
    <t>Confidential Sale</t>
  </si>
  <si>
    <t>Gregory &amp; Laura F.</t>
  </si>
  <si>
    <t>Willow Glen</t>
  </si>
  <si>
    <t>Found a True Heritage Home</t>
  </si>
  <si>
    <t>Alex’s appreciation for historic architecture helped us see the true potential of our 1928 Spanish revival. His contractor recommendations and valuation guidance were indispensable.</t>
  </si>
  <si>
    <t>Historic Revival</t>
  </si>
  <si>
    <t>Michael K.</t>
  </si>
  <si>
    <t>Sophisticated Global Digital Marketing</t>
  </si>
  <si>
    <t>The international exposure Alex generated for our estate brought inquiries from New York and overseas buyers. His negotiation skills delivered an extraordinary outcome.</t>
  </si>
  <si>
    <t>Global Campaign</t>
  </si>
  <si>
    <t>Clara &amp; Samuel B.</t>
  </si>
  <si>
    <t>Clear Guidance in a Shifting Market</t>
  </si>
  <si>
    <t>Alex provided empirical data and micro-market analysis that gave us complete confidence in our pricing offer. He is a genuine fiduciary who puts his clients first.</t>
  </si>
  <si>
    <t>Micro-Market Comps</t>
  </si>
  <si>
    <t>Harrison &amp; Victoria T.</t>
  </si>
  <si>
    <t>The Gold Standard for South Bay Real Estate</t>
  </si>
  <si>
    <t>Working with Alex was the best real estate decision we’ve ever made. Professional, articulate, deeply connected, and calm under pressure. We recommend him without hesitation.</t>
  </si>
  <si>
    <t>Full Representation</t>
  </si>
  <si>
    <t>Eric S.</t>
  </si>
  <si>
    <t>Maximized Our Net Proceeds Without a Costly Remodel</t>
  </si>
  <si>
    <t>Our rental property had years of wear and tear, and we didn't have the budget to fix it up. Alex crafted a smart as-is listing strategy that highlighted the property’s true upside to investors. He handled inquiries personally, defended our terms during escrow, and closed well above our expectations with zero out-of-pocket renovation expenses.</t>
  </si>
  <si>
    <t>Alex was an absolute lifesaver for our cross-border move. We were living overseas and needed a trusted advisor to scout homes for us in the States. My wife has very particular taste, and Alex never tried to rush or push us—he patiently previewed properties until he found the exact right fit. When she flew in to verify, it was perfect. Alex then leveraged his relationship with the listing agent to get our offer accepted right away. Exceptional communication, deep integrity, and flawless execution from start to finish.</t>
  </si>
  <si>
    <t>Steve &amp; Vanessa H.</t>
  </si>
  <si>
    <t>Fremont</t>
  </si>
  <si>
    <t>Relocating from Abroad</t>
  </si>
  <si>
    <t>featured-order</t>
  </si>
  <si>
    <t>no</t>
  </si>
  <si>
    <t>Alex’s pricing strategy was backed by analytical rigor that standard comps simply don't capture. The marketing narrative and photography were museum-grade, drawing competitive offers from international buyers. Our rental property had years of wear and tear, and we didn't have the budget to fix it up. Alex crafted a smart as-is listing strategy that highlighted the property’s true upside to investors. He handled inquiries personally, defended our terms during escrow, and closed well above our expectations with zero out-of-pocket renovation expenses. Our rental property had years of wear and tear, and we didn't have the budget to fix it up. Alex crafted a smart as-is listing strategy that highlighted the property’s true upside to investors. He handled inquiries personally, defended our terms during escrow, and closed well above our expectations with zero out-of-pocket renovation expenses.</t>
  </si>
  <si>
    <t>Yes</t>
  </si>
  <si>
    <t>city</t>
  </si>
  <si>
    <t>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</si>
</sst>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rgb="FFFFFFFF"/>
      <name val="Calibri"/>
      <family val="2"/>
    </font>
    <font>
      <sz val="10"/>
      <name val="Calibri"/>
      <family val="2"/>
    </font>
    <font>
      <sz val="10"/>
      <color rgb="FF0070C0"/>
      <name val="Calibri"/>
      <family val="2"/>
    </font>
    <font>
      <b/>
      <sz val="11"/>
      <color rgb="FFFF0000"/>
      <name val="Calibri"/>
      <family val="2"/>
    </font>
    <font>
      <b/>
      <sz val="11"/>
      <color rgb="FFFF0000"/>
      <name val="Arial"/>
      <family val="2"/>
    </font>
  </fonts>
  <fills count="6">
    <fill>
      <patternFill patternType="none"/>
    </fill>
    <fill>
      <patternFill patternType="gray125"/>
    </fill>
    <fill>
      <patternFill patternType="solid">
        <fgColor rgb="FF1A1A1A"/>
        <bgColor rgb="FF1A1A1A"/>
      </patternFill>
    </fill>
    <fill>
      <patternFill patternType="solid">
        <fgColor rgb="FFF8F7F4"/>
        <bgColor indexed="64"/>
      </patternFill>
    </fill>
    <fill>
      <patternFill patternType="solid">
        <fgColor theme="1"/>
        <bgColor indexed="64"/>
      </patternFill>
    </fill>
    <fill>
      <patternFill patternType="solid">
        <fgColor rgb="FFF8F7F4"/>
        <bgColor rgb="FFF8F7F4"/>
      </patternFill>
    </fill>
  </fills>
  <borders count="4">
    <border>
      <left/>
      <right/>
      <top/>
      <bottom/>
      <diagonal/>
    </border>
    <border>
      <left style="thin">
        <color rgb="FFE0E0E0"/>
      </left>
      <right style="thin">
        <color rgb="FFE0E0E0"/>
      </right>
      <top style="thin">
        <color rgb="FFE0E0E0"/>
      </top>
      <bottom style="thin">
        <color rgb="FFE0E0E0"/>
      </bottom>
      <diagonal/>
    </border>
    <border>
      <left style="medium">
        <color rgb="FFC4C7C5"/>
      </left>
      <right style="medium">
        <color rgb="FFC4C7C5"/>
      </right>
      <top style="medium">
        <color rgb="FFC4C7C5"/>
      </top>
      <bottom/>
      <diagonal/>
    </border>
    <border>
      <left style="thin">
        <color rgb="FFE0DED9"/>
      </left>
      <right style="thin">
        <color rgb="FFE0DED9"/>
      </right>
      <top style="thin">
        <color rgb="FFE0DED9"/>
      </top>
      <bottom style="thin">
        <color rgb="FFE0DED9"/>
      </bottom>
      <diagonal/>
    </border>
  </borders>
  <cellStyleXfs count="1">
    <xf numFmtId="0" fontId="0" fillId="0" borderId="0"/>
  </cellStyleXfs>
  <cellXfs count="23">
    <xf numFmtId="0" fontId="0" fillId="0" borderId="0" xfId="0"/>
    <xf numFmtId="0" fontId="2" fillId="0" borderId="1" xfId="0" quotePrefix="1" applyFont="1" applyBorder="1" applyAlignment="1">
      <alignment horizontal="left" vertical="center"/>
    </xf>
    <xf numFmtId="0" fontId="2" fillId="0" borderId="1" xfId="0" applyFont="1" applyBorder="1" applyAlignment="1">
      <alignment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0" fontId="2" fillId="3" borderId="1" xfId="0" quotePrefix="1" applyFont="1" applyFill="1" applyBorder="1" applyAlignment="1">
      <alignment horizontal="left" vertical="center"/>
    </xf>
    <xf numFmtId="0" fontId="2" fillId="3" borderId="1" xfId="0" applyFont="1" applyFill="1" applyBorder="1" applyAlignment="1">
      <alignment vertical="center"/>
    </xf>
    <xf numFmtId="0" fontId="2" fillId="3" borderId="1" xfId="0" applyFont="1" applyFill="1" applyBorder="1" applyAlignment="1">
      <alignment horizontal="center" vertical="center"/>
    </xf>
    <xf numFmtId="0" fontId="3" fillId="3" borderId="1" xfId="0" applyFont="1" applyFill="1" applyBorder="1" applyAlignment="1">
      <alignment horizontal="center" vertical="center"/>
    </xf>
    <xf numFmtId="0" fontId="2" fillId="3" borderId="1" xfId="0" applyFont="1" applyFill="1" applyBorder="1" applyAlignment="1">
      <alignment vertical="center" wrapText="1"/>
    </xf>
    <xf numFmtId="0" fontId="2" fillId="0" borderId="1" xfId="0" applyFont="1" applyBorder="1" applyAlignment="1">
      <alignment vertical="center" wrapText="1"/>
    </xf>
    <xf numFmtId="0" fontId="5" fillId="4" borderId="2" xfId="0" applyFont="1" applyFill="1" applyBorder="1" applyAlignment="1">
      <alignment vertical="center" wrapText="1"/>
    </xf>
    <xf numFmtId="0" fontId="3" fillId="5" borderId="3" xfId="0" applyFont="1" applyFill="1" applyBorder="1" applyAlignment="1">
      <alignment horizontal="center" vertical="center"/>
    </xf>
    <xf numFmtId="0" fontId="3" fillId="0" borderId="3" xfId="0" applyFont="1" applyBorder="1" applyAlignment="1">
      <alignment horizontal="center" vertical="center"/>
    </xf>
    <xf numFmtId="0" fontId="2" fillId="3" borderId="1" xfId="0" quotePrefix="1" applyFont="1" applyFill="1" applyBorder="1" applyAlignment="1">
      <alignment horizontal="left" vertical="center" wrapText="1"/>
    </xf>
    <xf numFmtId="0" fontId="0" fillId="4" borderId="0" xfId="0" applyFill="1"/>
    <xf numFmtId="0" fontId="2" fillId="3" borderId="1" xfId="0" applyFont="1" applyFill="1" applyBorder="1" applyAlignment="1">
      <alignment horizontal="left" vertical="top" wrapText="1"/>
    </xf>
    <xf numFmtId="0" fontId="2" fillId="0" borderId="1" xfId="0" quotePrefix="1" applyFont="1" applyBorder="1" applyAlignment="1">
      <alignment horizontal="left" vertical="top" wrapText="1"/>
    </xf>
    <xf numFmtId="0" fontId="2" fillId="3" borderId="1" xfId="0" quotePrefix="1" applyFont="1" applyFill="1" applyBorder="1" applyAlignment="1">
      <alignment horizontal="left" vertical="top" wrapText="1"/>
    </xf>
    <xf numFmtId="0" fontId="2" fillId="0" borderId="1" xfId="0" applyFont="1" applyBorder="1" applyAlignment="1">
      <alignment horizontal="left" vertical="top" wrapText="1"/>
    </xf>
    <xf numFmtId="0" fontId="1" fillId="2" borderId="0" xfId="0" applyFont="1" applyFill="1" applyAlignment="1">
      <alignment horizontal="center" vertical="center" wrapText="1"/>
    </xf>
    <xf numFmtId="0" fontId="4" fillId="2" borderId="0" xfId="0" quotePrefix="1" applyFont="1" applyFill="1" applyAlignment="1">
      <alignment horizontal="center" vertical="center" wrapText="1"/>
    </xf>
    <xf numFmtId="0" fontId="1" fillId="2" borderId="0" xfId="0" applyFont="1" applyFill="1" applyAlignment="1">
      <alignment vertical="center" wrapText="1"/>
    </xf>
  </cellXfs>
  <cellStyles count="1">
    <cellStyle name="Normal" xfId="0" builtinId="0"/>
  </cellStyles>
  <dxfs count="0"/>
  <tableStyles count="0" defaultTableStyle="TableStyleMedium9" defaultPivotStyle="PivotStyleLight16"/>
  <colors>
    <mruColors>
      <color rgb="FFF8F7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4"/>
  <sheetViews>
    <sheetView tabSelected="1" zoomScale="90" zoomScaleNormal="90" workbookViewId="0">
      <pane ySplit="1" topLeftCell="A2" activePane="bottomLeft" state="frozen"/>
      <selection pane="bottomLeft" activeCell="B1" sqref="B1"/>
    </sheetView>
  </sheetViews>
  <sheetFormatPr defaultRowHeight="14.5" x14ac:dyDescent="0.35"/>
  <cols>
    <col min="1" max="1" width="6.6328125" customWidth="1"/>
    <col min="2" max="2" width="20.54296875" customWidth="1"/>
    <col min="3" max="3" width="17.36328125" bestFit="1" customWidth="1"/>
    <col min="4" max="4" width="8.54296875" customWidth="1"/>
    <col min="5" max="5" width="14.6328125" customWidth="1"/>
    <col min="6" max="6" width="34.1796875" customWidth="1"/>
    <col min="7" max="7" width="80.90625" customWidth="1"/>
    <col min="8" max="8" width="22" customWidth="1"/>
    <col min="9" max="10" width="9.1796875" customWidth="1"/>
    <col min="11" max="11" width="2.90625" customWidth="1"/>
  </cols>
  <sheetData>
    <row r="1" spans="1:11" ht="60" customHeight="1" x14ac:dyDescent="0.35">
      <c r="A1" s="11" t="s">
        <v>95</v>
      </c>
      <c r="B1" s="22" t="s">
        <v>0</v>
      </c>
      <c r="C1" s="22" t="s">
        <v>1</v>
      </c>
      <c r="D1" s="22" t="s">
        <v>2</v>
      </c>
      <c r="E1" s="22" t="s">
        <v>98</v>
      </c>
      <c r="F1" s="22" t="s">
        <v>3</v>
      </c>
      <c r="G1" s="22" t="s">
        <v>99</v>
      </c>
      <c r="H1" s="20" t="s">
        <v>4</v>
      </c>
      <c r="I1" s="20" t="s">
        <v>5</v>
      </c>
      <c r="J1" s="21" t="s">
        <v>94</v>
      </c>
      <c r="K1" s="15"/>
    </row>
    <row r="2" spans="1:11" ht="44" customHeight="1" x14ac:dyDescent="0.35">
      <c r="A2" s="12">
        <f>MAX(A3:A$34) + 1</f>
        <v>32</v>
      </c>
      <c r="B2" s="5" t="s">
        <v>87</v>
      </c>
      <c r="C2" s="6" t="s">
        <v>6</v>
      </c>
      <c r="D2" s="7" t="s">
        <v>7</v>
      </c>
      <c r="E2" s="5" t="s">
        <v>46</v>
      </c>
      <c r="F2" s="14" t="s">
        <v>88</v>
      </c>
      <c r="G2" s="16" t="s">
        <v>89</v>
      </c>
      <c r="H2" s="7" t="s">
        <v>9</v>
      </c>
      <c r="I2" s="7" t="s">
        <v>10</v>
      </c>
      <c r="J2" s="8" t="str">
        <f>IF(I2="YES", COUNTIF($I$2:I2, "YES") &amp; CHOOSE(MIN(COUNTIF($I$2:I2, "YES"), 4), "st", "nd", "rd", "th"), "---")</f>
        <v>1st</v>
      </c>
      <c r="K2" s="15"/>
    </row>
    <row r="3" spans="1:11" ht="44" customHeight="1" x14ac:dyDescent="0.35">
      <c r="A3" s="13">
        <f>MAX(A4:A$34) + 1</f>
        <v>31</v>
      </c>
      <c r="B3" s="1" t="s">
        <v>91</v>
      </c>
      <c r="C3" s="2" t="s">
        <v>11</v>
      </c>
      <c r="D3" s="3" t="s">
        <v>12</v>
      </c>
      <c r="E3" s="2" t="s">
        <v>92</v>
      </c>
      <c r="F3" s="10" t="s">
        <v>93</v>
      </c>
      <c r="G3" s="17" t="s">
        <v>90</v>
      </c>
      <c r="H3" s="3" t="s">
        <v>14</v>
      </c>
      <c r="I3" s="3" t="s">
        <v>10</v>
      </c>
      <c r="J3" s="4" t="str">
        <f>IF(I3="YES", COUNTIF($I$2:I3, "YES") &amp; CHOOSE(MIN(COUNTIF($I$2:I3, "YES"), 4), "st", "nd", "rd", "th"), "---")</f>
        <v>2nd</v>
      </c>
      <c r="K3" s="15"/>
    </row>
    <row r="4" spans="1:11" ht="44" customHeight="1" x14ac:dyDescent="0.35">
      <c r="A4" s="12">
        <f>MAX(A5:A$34) + 1</f>
        <v>30</v>
      </c>
      <c r="B4" s="5" t="s">
        <v>15</v>
      </c>
      <c r="C4" s="6" t="s">
        <v>6</v>
      </c>
      <c r="D4" s="7" t="s">
        <v>7</v>
      </c>
      <c r="E4" s="5" t="s">
        <v>16</v>
      </c>
      <c r="F4" s="9" t="s">
        <v>17</v>
      </c>
      <c r="G4" s="18" t="s">
        <v>96</v>
      </c>
      <c r="H4" s="7" t="s">
        <v>18</v>
      </c>
      <c r="I4" s="7" t="s">
        <v>97</v>
      </c>
      <c r="J4" s="8" t="str">
        <f>IF(I4="YES", COUNTIF($I$2:I4, "YES") &amp; CHOOSE(MIN(COUNTIF($I$2:I4, "YES"), 4), "st", "nd", "rd", "th"), "---")</f>
        <v>3rd</v>
      </c>
      <c r="K4" s="15"/>
    </row>
    <row r="5" spans="1:11" ht="44" customHeight="1" x14ac:dyDescent="0.35">
      <c r="A5" s="13">
        <f>MAX(A6:A$34) + 1</f>
        <v>29</v>
      </c>
      <c r="B5" s="2" t="s">
        <v>19</v>
      </c>
      <c r="C5" s="2" t="s">
        <v>11</v>
      </c>
      <c r="D5" s="3" t="s">
        <v>12</v>
      </c>
      <c r="E5" s="2" t="s">
        <v>20</v>
      </c>
      <c r="F5" s="10" t="s">
        <v>21</v>
      </c>
      <c r="G5" s="19" t="s">
        <v>22</v>
      </c>
      <c r="H5" s="3" t="s">
        <v>23</v>
      </c>
      <c r="I5" s="3"/>
      <c r="J5" s="4" t="str">
        <f>IF(I5="YES", COUNTIF($I$2:I5, "YES") &amp; CHOOSE(MIN(COUNTIF($I$2:I5, "YES"), 4), "st", "nd", "rd", "th"), "---")</f>
        <v>---</v>
      </c>
      <c r="K5" s="15"/>
    </row>
    <row r="6" spans="1:11" ht="44" customHeight="1" x14ac:dyDescent="0.35">
      <c r="A6" s="12">
        <f>MAX(A7:A$34) + 1</f>
        <v>28</v>
      </c>
      <c r="B6" s="5" t="s">
        <v>24</v>
      </c>
      <c r="C6" s="6" t="s">
        <v>6</v>
      </c>
      <c r="D6" s="7" t="s">
        <v>7</v>
      </c>
      <c r="E6" s="5" t="s">
        <v>25</v>
      </c>
      <c r="F6" s="9" t="s">
        <v>26</v>
      </c>
      <c r="G6" s="16" t="s">
        <v>27</v>
      </c>
      <c r="H6" s="7" t="s">
        <v>28</v>
      </c>
      <c r="I6" s="7"/>
      <c r="J6" s="8" t="str">
        <f>IF(I6="YES", COUNTIF($I$2:I6, "YES") &amp; CHOOSE(MIN(COUNTIF($I$2:I6, "YES"), 4), "st", "nd", "rd", "th"), "---")</f>
        <v>---</v>
      </c>
      <c r="K6" s="15"/>
    </row>
    <row r="7" spans="1:11" ht="44" customHeight="1" x14ac:dyDescent="0.35">
      <c r="A7" s="13">
        <f>MAX(A8:A$34) + 1</f>
        <v>27</v>
      </c>
      <c r="B7" s="2" t="s">
        <v>29</v>
      </c>
      <c r="C7" s="2" t="s">
        <v>11</v>
      </c>
      <c r="D7" s="3" t="s">
        <v>12</v>
      </c>
      <c r="E7" s="2" t="s">
        <v>30</v>
      </c>
      <c r="F7" s="10" t="s">
        <v>31</v>
      </c>
      <c r="G7" s="19" t="s">
        <v>32</v>
      </c>
      <c r="H7" s="3" t="s">
        <v>33</v>
      </c>
      <c r="I7" s="3"/>
      <c r="J7" s="4" t="str">
        <f>IF(I7="YES", COUNTIF($I$2:I7, "YES") &amp; CHOOSE(MIN(COUNTIF($I$2:I7, "YES"), 4), "st", "nd", "rd", "th"), "---")</f>
        <v>---</v>
      </c>
      <c r="K7" s="15"/>
    </row>
    <row r="8" spans="1:11" ht="44" customHeight="1" x14ac:dyDescent="0.35">
      <c r="A8" s="12">
        <f>MAX(A9:A$34) + 1</f>
        <v>26</v>
      </c>
      <c r="B8" s="5" t="s">
        <v>34</v>
      </c>
      <c r="C8" s="6" t="s">
        <v>6</v>
      </c>
      <c r="D8" s="7" t="s">
        <v>7</v>
      </c>
      <c r="E8" s="5" t="s">
        <v>35</v>
      </c>
      <c r="F8" s="9" t="s">
        <v>36</v>
      </c>
      <c r="G8" s="16" t="s">
        <v>37</v>
      </c>
      <c r="H8" s="7" t="s">
        <v>38</v>
      </c>
      <c r="I8" s="7" t="s">
        <v>10</v>
      </c>
      <c r="J8" s="8" t="str">
        <f>IF(I8="YES", COUNTIF($I$2:I8, "YES") &amp; CHOOSE(MIN(COUNTIF($I$2:I8, "YES"), 4), "st", "nd", "rd", "th"), "---")</f>
        <v>4th</v>
      </c>
      <c r="K8" s="15"/>
    </row>
    <row r="9" spans="1:11" ht="44" customHeight="1" x14ac:dyDescent="0.35">
      <c r="A9" s="13">
        <f>MAX(A10:A$34) + 1</f>
        <v>25</v>
      </c>
      <c r="B9" s="2" t="s">
        <v>39</v>
      </c>
      <c r="C9" s="2" t="s">
        <v>11</v>
      </c>
      <c r="D9" s="3" t="s">
        <v>12</v>
      </c>
      <c r="E9" s="2" t="s">
        <v>40</v>
      </c>
      <c r="F9" s="10" t="s">
        <v>41</v>
      </c>
      <c r="G9" s="19" t="s">
        <v>42</v>
      </c>
      <c r="H9" s="3" t="s">
        <v>43</v>
      </c>
      <c r="I9" s="3" t="s">
        <v>10</v>
      </c>
      <c r="J9" s="4" t="str">
        <f>IF(I9="YES", COUNTIF($I$2:I9, "YES") &amp; CHOOSE(MIN(COUNTIF($I$2:I9, "YES"), 4), "st", "nd", "rd", "th"), "---")</f>
        <v>5th</v>
      </c>
      <c r="K9" s="15"/>
    </row>
    <row r="10" spans="1:11" ht="44" customHeight="1" x14ac:dyDescent="0.35">
      <c r="A10" s="12">
        <f>MAX(A11:A$34) + 1</f>
        <v>24</v>
      </c>
      <c r="B10" s="5" t="s">
        <v>44</v>
      </c>
      <c r="C10" s="6" t="s">
        <v>6</v>
      </c>
      <c r="D10" s="7" t="s">
        <v>45</v>
      </c>
      <c r="E10" s="5" t="s">
        <v>46</v>
      </c>
      <c r="F10" s="9" t="s">
        <v>47</v>
      </c>
      <c r="G10" s="16" t="s">
        <v>48</v>
      </c>
      <c r="H10" s="7" t="s">
        <v>49</v>
      </c>
      <c r="I10" s="7" t="s">
        <v>10</v>
      </c>
      <c r="J10" s="8" t="str">
        <f>IF(I10="YES", COUNTIF($I$2:I10, "YES") &amp; CHOOSE(MIN(COUNTIF($I$2:I10, "YES"), 4), "st", "nd", "rd", "th"), "---")</f>
        <v>6th</v>
      </c>
      <c r="K10" s="15"/>
    </row>
    <row r="11" spans="1:11" ht="44" customHeight="1" x14ac:dyDescent="0.35">
      <c r="A11" s="13">
        <f>MAX(A12:A$34) + 1</f>
        <v>23</v>
      </c>
      <c r="B11" s="2" t="s">
        <v>50</v>
      </c>
      <c r="C11" s="2" t="s">
        <v>6</v>
      </c>
      <c r="D11" s="3" t="s">
        <v>7</v>
      </c>
      <c r="E11" s="2" t="s">
        <v>8</v>
      </c>
      <c r="F11" s="10" t="s">
        <v>51</v>
      </c>
      <c r="G11" s="19" t="s">
        <v>52</v>
      </c>
      <c r="H11" s="3" t="s">
        <v>53</v>
      </c>
      <c r="I11" s="3"/>
      <c r="J11" s="4" t="str">
        <f>IF(I11="YES", COUNTIF($I$2:I11, "YES") &amp; CHOOSE(MIN(COUNTIF($I$2:I11, "YES"), 4), "st", "nd", "rd", "th"), "---")</f>
        <v>---</v>
      </c>
      <c r="K11" s="15"/>
    </row>
    <row r="12" spans="1:11" ht="44" customHeight="1" x14ac:dyDescent="0.35">
      <c r="A12" s="12">
        <f>MAX(A13:A$34) + 1</f>
        <v>22</v>
      </c>
      <c r="B12" s="5" t="s">
        <v>54</v>
      </c>
      <c r="C12" s="6" t="s">
        <v>11</v>
      </c>
      <c r="D12" s="7" t="s">
        <v>12</v>
      </c>
      <c r="E12" s="5" t="s">
        <v>20</v>
      </c>
      <c r="F12" s="9" t="s">
        <v>55</v>
      </c>
      <c r="G12" s="16" t="s">
        <v>56</v>
      </c>
      <c r="H12" s="7" t="s">
        <v>57</v>
      </c>
      <c r="I12" s="7" t="s">
        <v>10</v>
      </c>
      <c r="J12" s="8" t="str">
        <f>IF(I12="YES", COUNTIF($I$2:I12, "YES") &amp; CHOOSE(MIN(COUNTIF($I$2:I12, "YES"), 4), "st", "nd", "rd", "th"), "---")</f>
        <v>7th</v>
      </c>
      <c r="K12" s="15"/>
    </row>
    <row r="13" spans="1:11" ht="44" customHeight="1" x14ac:dyDescent="0.35">
      <c r="A13" s="13">
        <f>MAX(A14:A$34) + 1</f>
        <v>21</v>
      </c>
      <c r="B13" s="2" t="s">
        <v>58</v>
      </c>
      <c r="C13" s="2" t="s">
        <v>6</v>
      </c>
      <c r="D13" s="3" t="s">
        <v>7</v>
      </c>
      <c r="E13" s="2" t="s">
        <v>13</v>
      </c>
      <c r="F13" s="10" t="s">
        <v>59</v>
      </c>
      <c r="G13" s="19" t="s">
        <v>60</v>
      </c>
      <c r="H13" s="3" t="s">
        <v>61</v>
      </c>
      <c r="I13" s="3"/>
      <c r="J13" s="4" t="str">
        <f>IF(I13="YES", COUNTIF($I$2:I13, "YES") &amp; CHOOSE(MIN(COUNTIF($I$2:I13, "YES"), 4), "st", "nd", "rd", "th"), "---")</f>
        <v>---</v>
      </c>
      <c r="K13" s="15"/>
    </row>
    <row r="14" spans="1:11" ht="44" customHeight="1" x14ac:dyDescent="0.35">
      <c r="A14" s="12">
        <f>MAX(A15:A$34) + 1</f>
        <v>20</v>
      </c>
      <c r="B14" s="5" t="s">
        <v>62</v>
      </c>
      <c r="C14" s="6" t="s">
        <v>11</v>
      </c>
      <c r="D14" s="7" t="s">
        <v>12</v>
      </c>
      <c r="E14" s="5" t="s">
        <v>16</v>
      </c>
      <c r="F14" s="9" t="s">
        <v>63</v>
      </c>
      <c r="G14" s="16" t="s">
        <v>64</v>
      </c>
      <c r="H14" s="7" t="s">
        <v>65</v>
      </c>
      <c r="I14" s="7" t="s">
        <v>10</v>
      </c>
      <c r="J14" s="8" t="str">
        <f>IF(I14="YES", COUNTIF($I$2:I14, "YES") &amp; CHOOSE(MIN(COUNTIF($I$2:I14, "YES"), 4), "st", "nd", "rd", "th"), "---")</f>
        <v>8th</v>
      </c>
      <c r="K14" s="15"/>
    </row>
    <row r="15" spans="1:11" ht="44" customHeight="1" x14ac:dyDescent="0.35">
      <c r="A15" s="13">
        <f>MAX(A16:A$34) + 1</f>
        <v>19</v>
      </c>
      <c r="B15" s="2" t="s">
        <v>66</v>
      </c>
      <c r="C15" s="2" t="s">
        <v>6</v>
      </c>
      <c r="D15" s="3" t="s">
        <v>7</v>
      </c>
      <c r="E15" s="2" t="s">
        <v>25</v>
      </c>
      <c r="F15" s="10" t="s">
        <v>67</v>
      </c>
      <c r="G15" s="19" t="s">
        <v>68</v>
      </c>
      <c r="H15" s="3" t="s">
        <v>69</v>
      </c>
      <c r="I15" s="3"/>
      <c r="J15" s="4" t="str">
        <f>IF(I15="YES", COUNTIF($I$2:I15, "YES") &amp; CHOOSE(MIN(COUNTIF($I$2:I15, "YES"), 4), "st", "nd", "rd", "th"), "---")</f>
        <v>---</v>
      </c>
      <c r="K15" s="15"/>
    </row>
    <row r="16" spans="1:11" ht="44" customHeight="1" x14ac:dyDescent="0.35">
      <c r="A16" s="12">
        <f>MAX(A17:A$34) + 1</f>
        <v>18</v>
      </c>
      <c r="B16" s="5" t="s">
        <v>70</v>
      </c>
      <c r="C16" s="6" t="s">
        <v>11</v>
      </c>
      <c r="D16" s="7" t="s">
        <v>12</v>
      </c>
      <c r="E16" s="5" t="s">
        <v>71</v>
      </c>
      <c r="F16" s="9" t="s">
        <v>72</v>
      </c>
      <c r="G16" s="16" t="s">
        <v>73</v>
      </c>
      <c r="H16" s="7" t="s">
        <v>74</v>
      </c>
      <c r="I16" s="7"/>
      <c r="J16" s="8" t="str">
        <f>IF(I16="YES", COUNTIF($I$2:I16, "YES") &amp; CHOOSE(MIN(COUNTIF($I$2:I16, "YES"), 4), "st", "nd", "rd", "th"), "---")</f>
        <v>---</v>
      </c>
      <c r="K16" s="15"/>
    </row>
    <row r="17" spans="1:11" ht="44" customHeight="1" x14ac:dyDescent="0.35">
      <c r="A17" s="13">
        <f>MAX(A18:A$34) + 1</f>
        <v>17</v>
      </c>
      <c r="B17" s="2" t="s">
        <v>75</v>
      </c>
      <c r="C17" s="2" t="s">
        <v>6</v>
      </c>
      <c r="D17" s="3" t="s">
        <v>7</v>
      </c>
      <c r="E17" s="2" t="s">
        <v>30</v>
      </c>
      <c r="F17" s="10" t="s">
        <v>76</v>
      </c>
      <c r="G17" s="19" t="s">
        <v>77</v>
      </c>
      <c r="H17" s="3" t="s">
        <v>78</v>
      </c>
      <c r="I17" s="3" t="s">
        <v>10</v>
      </c>
      <c r="J17" s="4" t="str">
        <f>IF(I17="YES", COUNTIF($I$2:I17, "YES") &amp; CHOOSE(MIN(COUNTIF($I$2:I17, "YES"), 4), "st", "nd", "rd", "th"), "---")</f>
        <v>9th</v>
      </c>
      <c r="K17" s="15"/>
    </row>
    <row r="18" spans="1:11" ht="44" customHeight="1" x14ac:dyDescent="0.35">
      <c r="A18" s="12">
        <f>MAX(A19:A$34) + 1</f>
        <v>16</v>
      </c>
      <c r="B18" s="5" t="s">
        <v>79</v>
      </c>
      <c r="C18" s="6" t="s">
        <v>11</v>
      </c>
      <c r="D18" s="7" t="s">
        <v>12</v>
      </c>
      <c r="E18" s="5" t="s">
        <v>8</v>
      </c>
      <c r="F18" s="9" t="s">
        <v>80</v>
      </c>
      <c r="G18" s="16" t="s">
        <v>81</v>
      </c>
      <c r="H18" s="7" t="s">
        <v>82</v>
      </c>
      <c r="I18" s="7"/>
      <c r="J18" s="8" t="str">
        <f>IF(I18="YES", COUNTIF($I$2:I18, "YES") &amp; CHOOSE(MIN(COUNTIF($I$2:I18, "YES"), 4), "st", "nd", "rd", "th"), "---")</f>
        <v>---</v>
      </c>
      <c r="K18" s="15"/>
    </row>
    <row r="19" spans="1:11" ht="44" customHeight="1" x14ac:dyDescent="0.35">
      <c r="A19" s="13">
        <f>MAX(A20:A$34) + 1</f>
        <v>15</v>
      </c>
      <c r="B19" s="2" t="s">
        <v>83</v>
      </c>
      <c r="C19" s="2" t="s">
        <v>6</v>
      </c>
      <c r="D19" s="3" t="s">
        <v>7</v>
      </c>
      <c r="E19" s="2" t="s">
        <v>13</v>
      </c>
      <c r="F19" s="10" t="s">
        <v>84</v>
      </c>
      <c r="G19" s="19" t="s">
        <v>85</v>
      </c>
      <c r="H19" s="3" t="s">
        <v>86</v>
      </c>
      <c r="I19" s="3"/>
      <c r="J19" s="4" t="str">
        <f>IF(I19="YES", COUNTIF($I$2:I19, "YES") &amp; CHOOSE(MIN(COUNTIF($I$2:I19, "YES"), 4), "st", "nd", "rd", "th"), "---")</f>
        <v>---</v>
      </c>
      <c r="K19" s="15"/>
    </row>
    <row r="20" spans="1:11" ht="44" customHeight="1" x14ac:dyDescent="0.35">
      <c r="A20" s="12">
        <f>MAX(A21:A$34) + 1</f>
        <v>14</v>
      </c>
      <c r="B20" s="5" t="s">
        <v>79</v>
      </c>
      <c r="C20" s="6" t="s">
        <v>11</v>
      </c>
      <c r="D20" s="7" t="s">
        <v>12</v>
      </c>
      <c r="E20" s="5" t="s">
        <v>8</v>
      </c>
      <c r="F20" s="9" t="s">
        <v>80</v>
      </c>
      <c r="G20" s="16" t="s">
        <v>81</v>
      </c>
      <c r="H20" s="7" t="s">
        <v>82</v>
      </c>
      <c r="I20" s="7"/>
      <c r="J20" s="8" t="str">
        <f>IF(I20="YES", COUNTIF($I$2:I20, "YES") &amp; CHOOSE(MIN(COUNTIF($I$2:I20, "YES"), 4), "st", "nd", "rd", "th"), "---")</f>
        <v>---</v>
      </c>
      <c r="K20" s="15"/>
    </row>
    <row r="21" spans="1:11" ht="44" customHeight="1" x14ac:dyDescent="0.35">
      <c r="A21" s="13">
        <f>MAX(A22:A$34) + 1</f>
        <v>13</v>
      </c>
      <c r="B21" s="2" t="s">
        <v>83</v>
      </c>
      <c r="C21" s="2" t="s">
        <v>6</v>
      </c>
      <c r="D21" s="3" t="s">
        <v>7</v>
      </c>
      <c r="E21" s="2" t="s">
        <v>13</v>
      </c>
      <c r="F21" s="10" t="s">
        <v>84</v>
      </c>
      <c r="G21" s="19" t="s">
        <v>85</v>
      </c>
      <c r="H21" s="3" t="s">
        <v>86</v>
      </c>
      <c r="I21" s="3"/>
      <c r="J21" s="4" t="str">
        <f>IF(I21="YES", COUNTIF($I$2:I21, "YES") &amp; CHOOSE(MIN(COUNTIF($I$2:I21, "YES"), 4), "st", "nd", "rd", "th"), "---")</f>
        <v>---</v>
      </c>
      <c r="K21" s="15"/>
    </row>
    <row r="22" spans="1:11" ht="44" customHeight="1" x14ac:dyDescent="0.35">
      <c r="A22" s="12">
        <f>MAX(A23:A$34) + 1</f>
        <v>12</v>
      </c>
      <c r="B22" s="5" t="s">
        <v>79</v>
      </c>
      <c r="C22" s="6" t="s">
        <v>11</v>
      </c>
      <c r="D22" s="7" t="s">
        <v>12</v>
      </c>
      <c r="E22" s="5" t="s">
        <v>8</v>
      </c>
      <c r="F22" s="9" t="s">
        <v>80</v>
      </c>
      <c r="G22" s="16" t="s">
        <v>81</v>
      </c>
      <c r="H22" s="7" t="s">
        <v>82</v>
      </c>
      <c r="I22" s="7"/>
      <c r="J22" s="8" t="str">
        <f>IF(I22="YES", COUNTIF($I$2:I22, "YES") &amp; CHOOSE(MIN(COUNTIF($I$2:I22, "YES"), 4), "st", "nd", "rd", "th"), "---")</f>
        <v>---</v>
      </c>
      <c r="K22" s="15"/>
    </row>
    <row r="23" spans="1:11" ht="44" customHeight="1" x14ac:dyDescent="0.35">
      <c r="A23" s="13">
        <f>MAX(A24:A$34) + 1</f>
        <v>11</v>
      </c>
      <c r="B23" s="2" t="s">
        <v>83</v>
      </c>
      <c r="C23" s="2" t="s">
        <v>6</v>
      </c>
      <c r="D23" s="3" t="s">
        <v>7</v>
      </c>
      <c r="E23" s="2" t="s">
        <v>13</v>
      </c>
      <c r="F23" s="10" t="s">
        <v>84</v>
      </c>
      <c r="G23" s="19" t="s">
        <v>85</v>
      </c>
      <c r="H23" s="3" t="s">
        <v>86</v>
      </c>
      <c r="I23" s="3"/>
      <c r="J23" s="4" t="str">
        <f>IF(I23="YES", COUNTIF($I$2:I23, "YES") &amp; CHOOSE(MIN(COUNTIF($I$2:I23, "YES"), 4), "st", "nd", "rd", "th"), "---")</f>
        <v>---</v>
      </c>
      <c r="K23" s="15"/>
    </row>
    <row r="24" spans="1:11" ht="44" customHeight="1" x14ac:dyDescent="0.35">
      <c r="A24" s="12">
        <f>MAX(A25:A$34) + 1</f>
        <v>10</v>
      </c>
      <c r="B24" s="5" t="s">
        <v>79</v>
      </c>
      <c r="C24" s="6" t="s">
        <v>11</v>
      </c>
      <c r="D24" s="7" t="s">
        <v>12</v>
      </c>
      <c r="E24" s="5" t="s">
        <v>8</v>
      </c>
      <c r="F24" s="9" t="s">
        <v>80</v>
      </c>
      <c r="G24" s="16" t="s">
        <v>81</v>
      </c>
      <c r="H24" s="7" t="s">
        <v>82</v>
      </c>
      <c r="I24" s="7"/>
      <c r="J24" s="8" t="str">
        <f>IF(I24="YES", COUNTIF($I$2:I24, "YES") &amp; CHOOSE(MIN(COUNTIF($I$2:I24, "YES"), 4), "st", "nd", "rd", "th"), "---")</f>
        <v>---</v>
      </c>
      <c r="K24" s="15"/>
    </row>
    <row r="25" spans="1:11" ht="44" customHeight="1" x14ac:dyDescent="0.35">
      <c r="A25" s="13">
        <f>MAX(A26:A$34) + 1</f>
        <v>9</v>
      </c>
      <c r="B25" s="2" t="s">
        <v>83</v>
      </c>
      <c r="C25" s="2" t="s">
        <v>6</v>
      </c>
      <c r="D25" s="3" t="s">
        <v>7</v>
      </c>
      <c r="E25" s="2" t="s">
        <v>13</v>
      </c>
      <c r="F25" s="10" t="s">
        <v>84</v>
      </c>
      <c r="G25" s="19" t="s">
        <v>85</v>
      </c>
      <c r="H25" s="3" t="s">
        <v>86</v>
      </c>
      <c r="I25" s="3"/>
      <c r="J25" s="4" t="str">
        <f>IF(I25="YES", COUNTIF($I$2:I25, "YES") &amp; CHOOSE(MIN(COUNTIF($I$2:I25, "YES"), 4), "st", "nd", "rd", "th"), "---")</f>
        <v>---</v>
      </c>
      <c r="K25" s="15"/>
    </row>
    <row r="26" spans="1:11" ht="44" customHeight="1" x14ac:dyDescent="0.35">
      <c r="A26" s="12">
        <f>MAX(A27:A$34) + 1</f>
        <v>8</v>
      </c>
      <c r="B26" s="5" t="s">
        <v>79</v>
      </c>
      <c r="C26" s="6" t="s">
        <v>11</v>
      </c>
      <c r="D26" s="7" t="s">
        <v>12</v>
      </c>
      <c r="E26" s="5" t="s">
        <v>8</v>
      </c>
      <c r="F26" s="9" t="s">
        <v>80</v>
      </c>
      <c r="G26" s="16" t="s">
        <v>81</v>
      </c>
      <c r="H26" s="7" t="s">
        <v>82</v>
      </c>
      <c r="I26" s="7"/>
      <c r="J26" s="8" t="str">
        <f>IF(I26="YES", COUNTIF($I$2:I26, "YES") &amp; CHOOSE(MIN(COUNTIF($I$2:I26, "YES"), 4), "st", "nd", "rd", "th"), "---")</f>
        <v>---</v>
      </c>
      <c r="K26" s="15"/>
    </row>
    <row r="27" spans="1:11" ht="44" customHeight="1" x14ac:dyDescent="0.35">
      <c r="A27" s="13">
        <f>MAX(A28:A$34) + 1</f>
        <v>7</v>
      </c>
      <c r="B27" s="2" t="s">
        <v>83</v>
      </c>
      <c r="C27" s="2" t="s">
        <v>6</v>
      </c>
      <c r="D27" s="3" t="s">
        <v>7</v>
      </c>
      <c r="E27" s="2" t="s">
        <v>13</v>
      </c>
      <c r="F27" s="10" t="s">
        <v>84</v>
      </c>
      <c r="G27" s="19" t="s">
        <v>85</v>
      </c>
      <c r="H27" s="3" t="s">
        <v>86</v>
      </c>
      <c r="I27" s="3"/>
      <c r="J27" s="4" t="str">
        <f>IF(I27="YES", COUNTIF($I$2:I27, "YES") &amp; CHOOSE(MIN(COUNTIF($I$2:I27, "YES"), 4), "st", "nd", "rd", "th"), "---")</f>
        <v>---</v>
      </c>
      <c r="K27" s="15"/>
    </row>
    <row r="28" spans="1:11" ht="44" customHeight="1" x14ac:dyDescent="0.35">
      <c r="A28" s="12">
        <f>MAX(A29:A$34) + 1</f>
        <v>6</v>
      </c>
      <c r="B28" s="5" t="s">
        <v>79</v>
      </c>
      <c r="C28" s="6" t="s">
        <v>11</v>
      </c>
      <c r="D28" s="7" t="s">
        <v>12</v>
      </c>
      <c r="E28" s="5" t="s">
        <v>8</v>
      </c>
      <c r="F28" s="9" t="s">
        <v>80</v>
      </c>
      <c r="G28" s="16" t="s">
        <v>81</v>
      </c>
      <c r="H28" s="7" t="s">
        <v>82</v>
      </c>
      <c r="I28" s="7"/>
      <c r="J28" s="8" t="str">
        <f>IF(I28="YES", COUNTIF($I$2:I28, "YES") &amp; CHOOSE(MIN(COUNTIF($I$2:I28, "YES"), 4), "st", "nd", "rd", "th"), "---")</f>
        <v>---</v>
      </c>
      <c r="K28" s="15"/>
    </row>
    <row r="29" spans="1:11" ht="44" customHeight="1" x14ac:dyDescent="0.35">
      <c r="A29" s="13">
        <f>MAX(A30:A$34) + 1</f>
        <v>5</v>
      </c>
      <c r="B29" s="2" t="s">
        <v>83</v>
      </c>
      <c r="C29" s="2" t="s">
        <v>6</v>
      </c>
      <c r="D29" s="3" t="s">
        <v>7</v>
      </c>
      <c r="E29" s="2" t="s">
        <v>13</v>
      </c>
      <c r="F29" s="10" t="s">
        <v>84</v>
      </c>
      <c r="G29" s="19" t="s">
        <v>85</v>
      </c>
      <c r="H29" s="3" t="s">
        <v>86</v>
      </c>
      <c r="I29" s="3"/>
      <c r="J29" s="4" t="str">
        <f>IF(I29="YES", COUNTIF($I$2:I29, "YES") &amp; CHOOSE(MIN(COUNTIF($I$2:I29, "YES"), 4), "st", "nd", "rd", "th"), "---")</f>
        <v>---</v>
      </c>
      <c r="K29" s="15"/>
    </row>
    <row r="30" spans="1:11" ht="44" customHeight="1" x14ac:dyDescent="0.35">
      <c r="A30" s="12">
        <f>MAX(A31:A$34) + 1</f>
        <v>4</v>
      </c>
      <c r="B30" s="5" t="s">
        <v>79</v>
      </c>
      <c r="C30" s="6" t="s">
        <v>11</v>
      </c>
      <c r="D30" s="7" t="s">
        <v>12</v>
      </c>
      <c r="E30" s="5" t="s">
        <v>8</v>
      </c>
      <c r="F30" s="9" t="s">
        <v>80</v>
      </c>
      <c r="G30" s="16" t="s">
        <v>81</v>
      </c>
      <c r="H30" s="7" t="s">
        <v>82</v>
      </c>
      <c r="I30" s="7"/>
      <c r="J30" s="8" t="str">
        <f>IF(I30="YES", COUNTIF($I$2:I30, "YES") &amp; CHOOSE(MIN(COUNTIF($I$2:I30, "YES"), 4), "st", "nd", "rd", "th"), "---")</f>
        <v>---</v>
      </c>
      <c r="K30" s="15"/>
    </row>
    <row r="31" spans="1:11" ht="44" customHeight="1" x14ac:dyDescent="0.35">
      <c r="A31" s="13">
        <f>MAX(A32:A$34) + 1</f>
        <v>3</v>
      </c>
      <c r="B31" s="2" t="s">
        <v>83</v>
      </c>
      <c r="C31" s="2" t="s">
        <v>6</v>
      </c>
      <c r="D31" s="3" t="s">
        <v>7</v>
      </c>
      <c r="E31" s="2" t="s">
        <v>13</v>
      </c>
      <c r="F31" s="10" t="s">
        <v>84</v>
      </c>
      <c r="G31" s="19" t="s">
        <v>85</v>
      </c>
      <c r="H31" s="3" t="s">
        <v>86</v>
      </c>
      <c r="I31" s="3"/>
      <c r="J31" s="4" t="str">
        <f>IF(I31="YES", COUNTIF($I$2:I31, "YES") &amp; CHOOSE(MIN(COUNTIF($I$2:I31, "YES"), 4), "st", "nd", "rd", "th"), "---")</f>
        <v>---</v>
      </c>
      <c r="K31" s="15"/>
    </row>
    <row r="32" spans="1:11" ht="44" customHeight="1" x14ac:dyDescent="0.35">
      <c r="A32" s="12">
        <f>MAX(A33:A$34) + 1</f>
        <v>2</v>
      </c>
      <c r="B32" s="5" t="s">
        <v>79</v>
      </c>
      <c r="C32" s="6" t="s">
        <v>11</v>
      </c>
      <c r="D32" s="7" t="s">
        <v>12</v>
      </c>
      <c r="E32" s="5" t="s">
        <v>8</v>
      </c>
      <c r="F32" s="9" t="s">
        <v>80</v>
      </c>
      <c r="G32" s="16" t="s">
        <v>81</v>
      </c>
      <c r="H32" s="7" t="s">
        <v>82</v>
      </c>
      <c r="I32" s="7"/>
      <c r="J32" s="8" t="str">
        <f>IF(I32="YES", COUNTIF($I$2:I32, "YES") &amp; CHOOSE(MIN(COUNTIF($I$2:I32, "YES"), 4), "st", "nd", "rd", "th"), "---")</f>
        <v>---</v>
      </c>
      <c r="K32" s="15"/>
    </row>
    <row r="33" spans="1:11" ht="44" customHeight="1" x14ac:dyDescent="0.35">
      <c r="A33" s="13">
        <f>MAX(A34:A$34) + 1</f>
        <v>1</v>
      </c>
      <c r="B33" s="2" t="s">
        <v>83</v>
      </c>
      <c r="C33" s="2" t="s">
        <v>6</v>
      </c>
      <c r="D33" s="3" t="s">
        <v>7</v>
      </c>
      <c r="E33" s="2" t="s">
        <v>13</v>
      </c>
      <c r="F33" s="10" t="s">
        <v>84</v>
      </c>
      <c r="G33" s="19" t="s">
        <v>85</v>
      </c>
      <c r="H33" s="3" t="s">
        <v>86</v>
      </c>
      <c r="I33" s="3"/>
      <c r="J33" s="4" t="str">
        <f>IF(I33="YES", COUNTIF($I$2:I33, "YES") &amp; CHOOSE(MIN(COUNTIF($I$2:I33, "YES"), 4), "st", "nd", "rd", "th"), "---")</f>
        <v>---</v>
      </c>
      <c r="K33" s="15"/>
    </row>
    <row r="34" spans="1:11" ht="14.5" customHeight="1" x14ac:dyDescent="0.35">
      <c r="A34" s="15"/>
      <c r="B34" s="15"/>
      <c r="C34" s="15"/>
      <c r="D34" s="15"/>
      <c r="E34" s="15"/>
      <c r="F34" s="15"/>
      <c r="G34" s="15"/>
      <c r="H34" s="15"/>
      <c r="I34" s="15"/>
      <c r="J34" s="15"/>
      <c r="K34" s="15"/>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Testimonials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 Yap</cp:lastModifiedBy>
  <dcterms:created xsi:type="dcterms:W3CDTF">2026-10-12T05:22:19Z</dcterms:created>
  <dcterms:modified xsi:type="dcterms:W3CDTF">2026-10-22T15:04:06Z</dcterms:modified>
</cp:coreProperties>
</file>