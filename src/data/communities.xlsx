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C725337C-91DA-44EB-9242-315E8FD2B019}" xr6:coauthVersionLast="47" xr6:coauthVersionMax="47" xr10:uidLastSave="{00000000-0000-0000-0000-000000000000}"/>
  <bookViews>
    <workbookView xWindow="8940" yWindow="1180" windowWidth="29020" windowHeight="17510" xr2:uid="{FE6E1545-603F-4F25-A906-A3DAD4925D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  <c r="J8" i="1"/>
  <c r="J7" i="1"/>
  <c r="J6" i="1"/>
  <c r="J5" i="1"/>
  <c r="J4" i="1"/>
  <c r="J3" i="1"/>
  <c r="J2" i="1"/>
  <c r="F9" i="1" a="1"/>
  <c r="F8" i="1" a="1"/>
  <c r="F7" i="1" a="1"/>
  <c r="F6" i="1" a="1"/>
  <c r="F5" i="1" a="1"/>
  <c r="F4" i="1" a="1"/>
  <c r="F3" i="1" a="1"/>
  <c r="F2" i="1" a="1"/>
  <c r="A9" i="1"/>
  <c r="A8" i="1" s="1"/>
  <c r="A7" i="1" s="1"/>
  <c r="A6" i="1" s="1"/>
  <c r="A5" i="1" s="1"/>
  <c r="A4" i="1" s="1"/>
  <c r="A3" i="1" s="1"/>
  <c r="A2" i="1" s="1"/>
  <c r="H9" i="1"/>
  <c r="H8" i="1"/>
  <c r="H7" i="1"/>
  <c r="H6" i="1"/>
  <c r="H4" i="1"/>
  <c r="H3" i="1"/>
  <c r="H2" i="1"/>
  <c r="H5" i="1"/>
  <c r="G8" i="1" l="1"/>
  <c r="G6" i="1"/>
  <c r="G7" i="1"/>
  <c r="G9" i="1"/>
  <c r="G4" i="1"/>
  <c r="G2" i="1"/>
  <c r="G5" i="1"/>
  <c r="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<sst xmlns="http://schemas.openxmlformats.org/spreadsheetml/2006/main" count="102" uniqueCount="66">
  <si>
    <t>name</t>
  </si>
  <si>
    <t>tagline</t>
  </si>
  <si>
    <t>description</t>
  </si>
  <si>
    <t>slug</t>
  </si>
  <si>
    <t>A seamless blend of walkable downtown luxury, Michelin-rated dining, and expansive architectural estates tucked along tree-lined foothills.</t>
  </si>
  <si>
    <t>An entirely residential haven bounded by rolling hills, celebrated for its sprawling lots, discretion, and proximity to downtown Los Gatos.</t>
  </si>
  <si>
    <t>The intellectual epicenter of Silicon Valley, featuring storied tree-canopied avenues, prime architectural heritage, and Stanford vitality.</t>
  </si>
  <si>
    <t>Dedicated to open space and equestrian trails, offering custom modern sanctuaries and classical estates on protected multi-acre parcels.</t>
  </si>
  <si>
    <t>A prestigious South Bay retreat centered around the country club fairway, offering grand custom architecture and guarded tranquility.</t>
  </si>
  <si>
    <t>Celebrated for quiet cul-de-sacs, proximity to Quicksilver parklands, and expansive executive family estates with ridge vistas.</t>
  </si>
  <si>
    <t>Famous for its timeless Craftsman and Spanish revival architecture, charming Lincoln Avenue promenade, and tight-knit neighborhood feel.</t>
  </si>
  <si>
    <t>featured</t>
  </si>
  <si>
    <t>Yes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</si>
  <si>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</si>
  <si>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</si>
  <si>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</si>
  <si>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</si>
  <si>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</si>
  <si>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</si>
  <si>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https://images.unsplash.com/photo-1600566752355-35792bedcfea?auto=format&amp;fit=crop&amp;w=1200&amp;q=80</t>
  </si>
  <si>
    <t>city</t>
  </si>
  <si>
    <t>image-1</t>
  </si>
  <si>
    <t>image-2</t>
  </si>
  <si>
    <t>image-3</t>
  </si>
  <si>
    <t>image-4</t>
  </si>
  <si>
    <t>image-5</t>
  </si>
  <si>
    <t>01 Distinguished Foothill Estates &amp; Private Vineyards</t>
  </si>
  <si>
    <t>02 Historic Charm, Vibrant Town Center &amp; Scenic Ridges</t>
  </si>
  <si>
    <t>03 Exclusive Residential Enclaves &amp; Quiet Elegance</t>
  </si>
  <si>
    <t>04 Crescent Park Grandeur &amp; Silicon Valley Heritage</t>
  </si>
  <si>
    <t>05 Strict Acreage Zoning &amp; Sweeping Valley Panoramas</t>
  </si>
  <si>
    <t>06 Gated Golf Enclaves &amp; Panoramic Skyline Views</t>
  </si>
  <si>
    <t>07 Top-Tier Education &amp; Scenic Foothill Living</t>
  </si>
  <si>
    <t>08 Tree-Lined Avenues &amp; Vibrant Village Warmth</t>
  </si>
  <si>
    <t>https://images.unsplash.com/photo-1628624747186-a941c476b7ef?ixid=M3w4MjcwNjd8MHwxfHNlYXJjaHwyMHx8aG91c2V8ZW58MHx8fHwxNzkyMTc1MjE4fDA&amp;ixlib=rb-4.1.0&amp;w=1200&amp;fit=max&amp;q=80</t>
  </si>
  <si>
    <t>https://images.unsplash.com/photo-1605276374104-dee2a0ed3cd6?ixid=M3w4MjcwNjd8MHwxfHNlYXJjaHwyMnx8aG91c2V8ZW58MHx8fHwxNzkyMTc1MjE4fDA&amp;ixlib=rb-4.1.0&amp;w=1200&amp;fit=max&amp;q=80</t>
  </si>
  <si>
    <t>https://images.unsplash.com/photo-1761013320045-d29e4f10bcbc?ixid=M3w4MjcwNjd8MHwxfHNlYXJjaHwzfHxob21lc3xlbnwwfHx8fDE3OTIxNzU0MzJ8MA&amp;ixlib=rb-4.1.0&amp;w=1200&amp;fit=max&amp;q=80</t>
  </si>
  <si>
    <t>https://images.unsplash.com/photo-1494526585095-c41746248156?ixid=M3w4MjcwNjd8MHwxfHNlYXJjaHwxMHx8aG9tZXN8ZW58MHx8fHwxNzkyMTc1NDMyfDA&amp;ixlib=rb-4.1.0&amp;w=1200&amp;fit=max&amp;q=80</t>
  </si>
  <si>
    <t>https://images.unsplash.com/photo-1777428762767-e3a797da389a?ixid=M3w4MjcwNjd8MHwxfHNlYXJjaHwxNXx8aG9tZXN8ZW58MHx8fHwxNzkyMTc1NDMyfDA&amp;ixlib=rb-4.1.0&amp;w=1200&amp;fit=max&amp;q=80</t>
  </si>
  <si>
    <t>https://images.unsplash.com/photo-1430285561322-7808604715df?ixid=M3w4MjcwNjd8MHwxfHNlYXJjaHwyNnx8aG9tZXN8ZW58MHx8fHwxNzkyMTc1NDMyfDA&amp;ixlib=rb-4.1.0&amp;w=1200&amp;fit=max&amp;q=80</t>
  </si>
  <si>
    <t>featured-order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</si>
  <si>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</si>
  <si>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</si>
  <si>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https://images.unsplash.com/photo-1467385829985-2b0fb82b5193?ixid=M3w4MjcwNjd8MHwxfHNlYXJjaHwxMHx8ZXh0ZXJpb3J8ZW58MHx8fHwxNzkyMTc1MDgxfDA&amp;ixlib=rb-4.1.0&amp;w=1200&amp;fit=max&amp;q=80</t>
  </si>
  <si>
    <t>https://res.cloudinary.com/qogrq7ve/image/upload/v1790284079/cld-sample-4.jpg</t>
  </si>
  <si>
    <t>https://res.cloudinary.com/qogrq7ve/image/upload/v1790284067/samples/bike.jpg</t>
  </si>
  <si>
    <t>https://res.cloudinary.com/qogrq7ve/image/upload/v1790284066/samples/sheep.jpg</t>
  </si>
  <si>
    <t>https://res.cloudinary.com/qogrq7ve/image/upload/v1790284066/samples/food/pot-mussels.jpg</t>
  </si>
  <si>
    <t>https://images.unsplash.com/photo-1567496898669-ee935f5f647a?ixid=M3w4MjcwNjd8MHwxfHNlYXJjaHwzMHx8aG9tZXN8ZW58MHx8fHwxNzkyMTc1NDMyfDA&amp;ixlib=rb-4.1.0&amp;w=1200&amp;fit=max&amp;q=80</t>
  </si>
  <si>
    <t>Rivermark</t>
  </si>
  <si>
    <t>San Jose</t>
  </si>
  <si>
    <t>Pruneyard Plaza</t>
  </si>
  <si>
    <t>Campbell</t>
  </si>
  <si>
    <t>Terra Serena Luna</t>
  </si>
  <si>
    <t>Milpitas</t>
  </si>
  <si>
    <t>Fish Town</t>
  </si>
  <si>
    <t>Los Altos</t>
  </si>
  <si>
    <t>check-duplicated-slug</t>
  </si>
  <si>
    <t>image-6</t>
  </si>
  <si>
    <t>image-7</t>
  </si>
  <si>
    <t>image-8</t>
  </si>
  <si>
    <t>image-9</t>
  </si>
  <si>
    <t>image-10</t>
  </si>
  <si>
    <t>image-11</t>
  </si>
  <si>
    <t>image-12</t>
  </si>
  <si>
    <t>image-13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</si>
</sst>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0070C0"/>
      <name val="Calibri"/>
      <family val="2"/>
    </font>
    <font>
      <sz val="10"/>
      <color rgb="FF1A1A1A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rgb="FFFF0000"/>
      <name val="Arial"/>
      <family val="2"/>
    </font>
    <font>
      <sz val="11"/>
      <color rgb="FF0070C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rgb="FFF8F7F4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quotePrefix="1" applyFont="1" applyFill="1" applyAlignment="1">
      <alignment horizontal="left" vertical="center" wrapText="1"/>
    </xf>
    <xf numFmtId="0" fontId="5" fillId="0" borderId="0" xfId="0" quotePrefix="1" applyFont="1" applyAlignment="1">
      <alignment horizontal="left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4" fillId="0" borderId="0" xfId="0" quotePrefix="1" applyFont="1" applyAlignment="1">
      <alignment horizontal="left" vertical="center" wrapText="1"/>
    </xf>
    <xf numFmtId="0" fontId="4" fillId="5" borderId="0" xfId="0" quotePrefix="1" applyFont="1" applyFill="1" applyAlignment="1">
      <alignment horizontal="left" vertical="center" wrapText="1"/>
    </xf>
    <xf numFmtId="0" fontId="7" fillId="6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2" borderId="0" xfId="0" quotePrefix="1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0" fillId="6" borderId="0" xfId="0" applyFill="1"/>
    <xf numFmtId="0" fontId="4" fillId="5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0326-1961-46AC-A80E-1EE2BD33E039}">
  <dimension ref="A1:X10"/>
  <sheetViews>
    <sheetView tabSelected="1" zoomScale="90" zoomScaleNormal="90" workbookViewId="0">
      <pane ySplit="1" topLeftCell="A2" activePane="bottomLeft" state="frozen"/>
      <selection pane="bottomLeft" activeCell="K1" sqref="K1"/>
    </sheetView>
  </sheetViews>
  <sheetFormatPr defaultRowHeight="14.5" x14ac:dyDescent="0.35"/>
  <cols>
    <col min="1" max="1" width="6.6328125" customWidth="1"/>
    <col min="2" max="2" width="12.6328125" customWidth="1"/>
    <col min="3" max="3" width="17.6328125" customWidth="1"/>
    <col min="4" max="4" width="27.08984375" customWidth="1"/>
    <col min="5" max="5" width="31.1796875" customWidth="1"/>
    <col min="6" max="6" width="20.453125" customWidth="1"/>
    <col min="7" max="7" width="10.1796875" customWidth="1"/>
    <col min="8" max="8" width="19.7265625" customWidth="1"/>
    <col min="9" max="10" width="9.1796875" customWidth="1"/>
    <col min="11" max="23" width="14.1796875" customWidth="1"/>
    <col min="24" max="24" width="2.90625" customWidth="1"/>
  </cols>
  <sheetData>
    <row r="1" spans="1:24" ht="60" customHeight="1" x14ac:dyDescent="0.35">
      <c r="A1" s="15" t="s">
        <v>42</v>
      </c>
      <c r="B1" s="27" t="s">
        <v>0</v>
      </c>
      <c r="C1" s="27" t="s">
        <v>20</v>
      </c>
      <c r="D1" s="27" t="s">
        <v>1</v>
      </c>
      <c r="E1" s="27" t="s">
        <v>2</v>
      </c>
      <c r="F1" s="17" t="s">
        <v>3</v>
      </c>
      <c r="G1" s="17" t="s">
        <v>57</v>
      </c>
      <c r="H1" s="1" t="s">
        <v>3</v>
      </c>
      <c r="I1" s="1" t="s">
        <v>11</v>
      </c>
      <c r="J1" s="20" t="s">
        <v>40</v>
      </c>
      <c r="K1" s="12" t="s">
        <v>21</v>
      </c>
      <c r="L1" s="12" t="s">
        <v>22</v>
      </c>
      <c r="M1" s="12" t="s">
        <v>23</v>
      </c>
      <c r="N1" s="12" t="s">
        <v>24</v>
      </c>
      <c r="O1" s="12" t="s">
        <v>25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65</v>
      </c>
      <c r="X1" s="23"/>
    </row>
    <row r="2" spans="1:24" ht="60" customHeight="1" x14ac:dyDescent="0.35">
      <c r="A2" s="2">
        <f>MAX(A3:A1000) + 1</f>
        <v>8</v>
      </c>
      <c r="B2" s="14" t="s">
        <v>49</v>
      </c>
      <c r="C2" s="14" t="s">
        <v>50</v>
      </c>
      <c r="D2" s="6" t="s">
        <v>26</v>
      </c>
      <c r="E2" s="24" t="s">
        <v>41</v>
      </c>
      <c r="F2" s="18" t="str" cm="1">
        <f t="array" ref="F2">LOWER(SUBSTITUTE(TRIM(_xlfn.TEXTJOIN("", TRUE, _xlfn.LET(_xlpm.raw, B2 &amp; " " &amp; C2,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2" s="22" t="str">
        <f t="shared" ref="G2:G5" si="0">IF(COUNTIF(F:F, F2)&gt;1, "Yes", "---")</f>
        <v>Yes</v>
      </c>
      <c r="H2" s="6" t="str">
        <f>LOWER(SUBSTITUTE(C2, " ", "-"))</f>
        <v>san-jose</v>
      </c>
      <c r="I2" s="3" t="s">
        <v>12</v>
      </c>
      <c r="J2" s="2" t="str">
        <f>IF(I2="YES", COUNTIF(I$2:I2, "YES") &amp; CHOOSE(MIN(COUNTIF(I$2:I2, "YES"), 4), "st", "nd", "rd", "th"), "---")</f>
        <v>1st</v>
      </c>
      <c r="K2" s="10" t="s">
        <v>48</v>
      </c>
      <c r="L2" s="10" t="s">
        <v>14</v>
      </c>
      <c r="M2" s="10" t="s">
        <v>15</v>
      </c>
      <c r="N2" s="10" t="s">
        <v>13</v>
      </c>
      <c r="O2" s="10" t="s">
        <v>16</v>
      </c>
      <c r="P2" s="10" t="s">
        <v>48</v>
      </c>
      <c r="Q2" s="10" t="s">
        <v>14</v>
      </c>
      <c r="R2" s="10" t="s">
        <v>15</v>
      </c>
      <c r="S2" s="10" t="s">
        <v>48</v>
      </c>
      <c r="T2" s="10" t="s">
        <v>14</v>
      </c>
      <c r="U2" s="10" t="s">
        <v>15</v>
      </c>
      <c r="V2" s="10" t="s">
        <v>13</v>
      </c>
      <c r="W2" s="10" t="s">
        <v>16</v>
      </c>
      <c r="X2" s="23"/>
    </row>
    <row r="3" spans="1:24" ht="60" customHeight="1" x14ac:dyDescent="0.35">
      <c r="A3" s="16">
        <f t="shared" ref="A3:A9" si="1">MAX(A4:A1001) + 1</f>
        <v>7</v>
      </c>
      <c r="B3" s="13" t="s">
        <v>49</v>
      </c>
      <c r="C3" s="13" t="s">
        <v>50</v>
      </c>
      <c r="D3" s="8" t="s">
        <v>27</v>
      </c>
      <c r="E3" s="25" t="s">
        <v>4</v>
      </c>
      <c r="F3" s="19" t="str" cm="1">
        <f t="array" ref="F3">LOWER(SUBSTITUTE(TRIM(_xlfn.TEXTJOIN("", TRUE, _xlfn.LET(_xlpm.raw, B3 &amp; " " &amp; C3,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3" s="21" t="str">
        <f t="shared" si="0"/>
        <v>Yes</v>
      </c>
      <c r="H3" s="8" t="str">
        <f>LOWER(SUBSTITUTE(C3, " ", "-"))</f>
        <v>san-jose</v>
      </c>
      <c r="I3" s="4"/>
      <c r="J3" s="5" t="str">
        <f>IF(I3="YES", COUNTIF(I$2:I3, "YES") &amp; CHOOSE(MIN(COUNTIF(I$2:I3, "YES"), 4), "st", "nd", "rd", "th"), "---")</f>
        <v>---</v>
      </c>
      <c r="K3" s="11" t="s">
        <v>34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23"/>
    </row>
    <row r="4" spans="1:24" ht="60" customHeight="1" x14ac:dyDescent="0.35">
      <c r="A4" s="2">
        <f t="shared" si="1"/>
        <v>6</v>
      </c>
      <c r="B4" s="14" t="s">
        <v>49</v>
      </c>
      <c r="C4" s="14" t="s">
        <v>50</v>
      </c>
      <c r="D4" s="6" t="s">
        <v>28</v>
      </c>
      <c r="E4" s="24" t="s">
        <v>5</v>
      </c>
      <c r="F4" s="18" t="str" cm="1">
        <f t="array" ref="F4">LOWER(SUBSTITUTE(TRIM(_xlfn.TEXTJOIN("", TRUE, _xlfn.LET(_xlpm.raw, B4 &amp; " " &amp; C4,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4" s="22" t="str">
        <f t="shared" si="0"/>
        <v>Yes</v>
      </c>
      <c r="H4" s="6" t="str">
        <f>LOWER(SUBSTITUTE(C4, " ", "-"))</f>
        <v>san-jose</v>
      </c>
      <c r="I4" s="3" t="s">
        <v>12</v>
      </c>
      <c r="J4" s="2" t="str">
        <f>IF(I4="YES", COUNTIF(I$2:I4, "YES") &amp; CHOOSE(MIN(COUNTIF(I$2:I4, "YES"), 4), "st", "nd", "rd", "th"), "---")</f>
        <v>2nd</v>
      </c>
      <c r="K4" s="10" t="s">
        <v>35</v>
      </c>
      <c r="L4" s="10" t="s">
        <v>13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23"/>
    </row>
    <row r="5" spans="1:24" ht="60" customHeight="1" x14ac:dyDescent="0.35">
      <c r="A5" s="16">
        <f t="shared" si="1"/>
        <v>5</v>
      </c>
      <c r="B5" s="13" t="s">
        <v>49</v>
      </c>
      <c r="C5" s="13" t="s">
        <v>50</v>
      </c>
      <c r="D5" s="8" t="s">
        <v>29</v>
      </c>
      <c r="E5" s="25" t="s">
        <v>6</v>
      </c>
      <c r="F5" s="19" t="str" cm="1">
        <f t="array" ref="F5">LOWER(SUBSTITUTE(TRIM(_xlfn.TEXTJOIN("", TRUE, _xlfn.LET(_xlpm.raw, B5 &amp; " " &amp; C5,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5" s="21" t="str">
        <f t="shared" si="0"/>
        <v>Yes</v>
      </c>
      <c r="H5" s="8" t="str">
        <f>LOWER(SUBSTITUTE(C5, " ", "-"))</f>
        <v>san-jose</v>
      </c>
      <c r="I5" s="4" t="s">
        <v>12</v>
      </c>
      <c r="J5" s="5" t="str">
        <f>IF(I5="YES", COUNTIF(I$2:I5, "YES") &amp; CHOOSE(MIN(COUNTIF(I$2:I5, "YES"), 4), "st", "nd", "rd", "th"), "---")</f>
        <v>3rd</v>
      </c>
      <c r="K5" s="11" t="s">
        <v>43</v>
      </c>
      <c r="L5" s="11" t="s">
        <v>44</v>
      </c>
      <c r="M5" s="11" t="s">
        <v>45</v>
      </c>
      <c r="N5" s="11" t="s">
        <v>46</v>
      </c>
      <c r="O5" s="11" t="s">
        <v>47</v>
      </c>
      <c r="P5" s="11"/>
      <c r="Q5" s="11"/>
      <c r="R5" s="11"/>
      <c r="S5" s="11"/>
      <c r="T5" s="11"/>
      <c r="U5" s="11"/>
      <c r="V5" s="11"/>
      <c r="W5" s="11"/>
      <c r="X5" s="23"/>
    </row>
    <row r="6" spans="1:24" ht="60" customHeight="1" x14ac:dyDescent="0.35">
      <c r="A6" s="2">
        <f t="shared" si="1"/>
        <v>4</v>
      </c>
      <c r="B6" s="6" t="s">
        <v>49</v>
      </c>
      <c r="C6" s="14" t="s">
        <v>50</v>
      </c>
      <c r="D6" s="6" t="s">
        <v>30</v>
      </c>
      <c r="E6" s="24" t="s">
        <v>7</v>
      </c>
      <c r="F6" s="18" t="str" cm="1">
        <f t="array" ref="F6">LOWER(SUBSTITUTE(TRIM(_xlfn.TEXTJOIN("", TRUE, _xlfn.LET(_xlpm.raw, B6 &amp; " " &amp; C6,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6" s="22" t="str">
        <f>IF(COUNTIF(F:F, F6)&gt;1, "Yes", "---")</f>
        <v>Yes</v>
      </c>
      <c r="H6" s="6" t="str">
        <f>LOWER(SUBSTITUTE(C6, " ", "-"))</f>
        <v>san-jose</v>
      </c>
      <c r="I6" s="3" t="s">
        <v>12</v>
      </c>
      <c r="J6" s="2" t="str">
        <f>IF(I6="YES", COUNTIF(I$2:I6, "YES") &amp; CHOOSE(MIN(COUNTIF(I$2:I6, "YES"), 4), "st", "nd", "rd", "th"), "---")</f>
        <v>4th</v>
      </c>
      <c r="K6" s="7" t="s">
        <v>36</v>
      </c>
      <c r="L6" s="7" t="s">
        <v>17</v>
      </c>
      <c r="M6" s="7" t="s">
        <v>18</v>
      </c>
      <c r="N6" s="7" t="s">
        <v>19</v>
      </c>
      <c r="O6" s="7"/>
      <c r="P6" s="7"/>
      <c r="Q6" s="7"/>
      <c r="R6" s="7"/>
      <c r="S6" s="7"/>
      <c r="T6" s="7"/>
      <c r="U6" s="7"/>
      <c r="V6" s="7"/>
      <c r="W6" s="7"/>
      <c r="X6" s="23"/>
    </row>
    <row r="7" spans="1:24" ht="60" customHeight="1" x14ac:dyDescent="0.35">
      <c r="A7" s="16">
        <f t="shared" si="1"/>
        <v>3</v>
      </c>
      <c r="B7" s="13" t="s">
        <v>51</v>
      </c>
      <c r="C7" s="13" t="s">
        <v>52</v>
      </c>
      <c r="D7" s="8" t="s">
        <v>31</v>
      </c>
      <c r="E7" s="25" t="s">
        <v>8</v>
      </c>
      <c r="F7" s="19" t="str" cm="1">
        <f t="array" ref="F7">LOWER(SUBSTITUTE(TRIM(_xlfn.TEXTJOIN("", TRUE, _xlfn.LET(_xlpm.raw, B7 &amp; " " &amp; C7,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pruneyard-plaza-campbell</v>
      </c>
      <c r="G7" s="21" t="str">
        <f t="shared" ref="G7:G9" si="2">IF(COUNTIF(F:F, F7)&gt;1, "Yes", "---")</f>
        <v>---</v>
      </c>
      <c r="H7" s="8" t="str">
        <f>LOWER(SUBSTITUTE(C7, " ", "-"))</f>
        <v>campbell</v>
      </c>
      <c r="I7" s="4" t="s">
        <v>12</v>
      </c>
      <c r="J7" s="5" t="str">
        <f>IF(I7="YES", COUNTIF(I$2:I7, "YES") &amp; CHOOSE(MIN(COUNTIF(I$2:I7, "YES"), 4), "st", "nd", "rd", "th"), "---")</f>
        <v>5th</v>
      </c>
      <c r="K7" s="9" t="s">
        <v>37</v>
      </c>
      <c r="L7" s="9" t="s">
        <v>18</v>
      </c>
      <c r="M7" s="9" t="s">
        <v>19</v>
      </c>
      <c r="N7" s="9" t="s">
        <v>13</v>
      </c>
      <c r="O7" s="9" t="s">
        <v>14</v>
      </c>
      <c r="P7" s="9"/>
      <c r="Q7" s="9"/>
      <c r="R7" s="9"/>
      <c r="S7" s="9"/>
      <c r="T7" s="9"/>
      <c r="U7" s="9"/>
      <c r="V7" s="9"/>
      <c r="W7" s="9"/>
      <c r="X7" s="23"/>
    </row>
    <row r="8" spans="1:24" ht="60" customHeight="1" x14ac:dyDescent="0.35">
      <c r="A8" s="2">
        <f t="shared" si="1"/>
        <v>2</v>
      </c>
      <c r="B8" s="6" t="s">
        <v>53</v>
      </c>
      <c r="C8" s="14" t="s">
        <v>54</v>
      </c>
      <c r="D8" s="6" t="s">
        <v>32</v>
      </c>
      <c r="E8" s="24" t="s">
        <v>9</v>
      </c>
      <c r="F8" s="18" t="str" cm="1">
        <f t="array" ref="F8">LOWER(SUBSTITUTE(TRIM(_xlfn.TEXTJOIN("", TRUE, _xlfn.LET(_xlpm.raw, B8 &amp; " " &amp; C8,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terra-serena-luna-milpitas</v>
      </c>
      <c r="G8" s="22" t="str">
        <f t="shared" si="2"/>
        <v>---</v>
      </c>
      <c r="H8" s="6" t="str">
        <f>LOWER(SUBSTITUTE(C8, " ", "-"))</f>
        <v>milpitas</v>
      </c>
      <c r="I8" s="3" t="s">
        <v>12</v>
      </c>
      <c r="J8" s="2" t="str">
        <f>IF(I8="YES", COUNTIF(I$2:I8, "YES") &amp; CHOOSE(MIN(COUNTIF(I$2:I8, "YES"), 4), "st", "nd", "rd", "th"), "---")</f>
        <v>6th</v>
      </c>
      <c r="K8" s="10" t="s">
        <v>38</v>
      </c>
      <c r="L8" s="10" t="s">
        <v>19</v>
      </c>
      <c r="M8" s="10" t="s">
        <v>13</v>
      </c>
      <c r="N8" s="10" t="s">
        <v>14</v>
      </c>
      <c r="O8" s="10" t="s">
        <v>15</v>
      </c>
      <c r="P8" s="10"/>
      <c r="Q8" s="10"/>
      <c r="R8" s="10"/>
      <c r="S8" s="10"/>
      <c r="T8" s="10"/>
      <c r="U8" s="10"/>
      <c r="V8" s="10"/>
      <c r="W8" s="10"/>
      <c r="X8" s="23"/>
    </row>
    <row r="9" spans="1:24" ht="60" customHeight="1" x14ac:dyDescent="0.35">
      <c r="A9" s="16">
        <f t="shared" si="1"/>
        <v>1</v>
      </c>
      <c r="B9" s="8" t="s">
        <v>55</v>
      </c>
      <c r="C9" s="13" t="s">
        <v>56</v>
      </c>
      <c r="D9" s="8" t="s">
        <v>33</v>
      </c>
      <c r="E9" s="25" t="s">
        <v>10</v>
      </c>
      <c r="F9" s="19" t="str" cm="1">
        <f t="array" ref="F9">LOWER(SUBSTITUTE(TRIM(_xlfn.TEXTJOIN("", TRUE, _xlfn.LET(_xlpm.raw, B9 &amp; " " &amp; C9,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fish-town-los-altos</v>
      </c>
      <c r="G9" s="21" t="str">
        <f t="shared" si="2"/>
        <v>---</v>
      </c>
      <c r="H9" s="8" t="str">
        <f>LOWER(SUBSTITUTE(C9, " ", "-"))</f>
        <v>los-altos</v>
      </c>
      <c r="I9" s="4" t="s">
        <v>12</v>
      </c>
      <c r="J9" s="5" t="str">
        <f>IF(I9="YES", COUNTIF(I$2:I9, "YES") &amp; CHOOSE(MIN(COUNTIF(I$2:I9, "YES"), 4), "st", "nd", "rd", "th"), "---")</f>
        <v>7th</v>
      </c>
      <c r="K9" s="11" t="s">
        <v>39</v>
      </c>
      <c r="L9" s="11" t="s">
        <v>13</v>
      </c>
      <c r="M9" s="11" t="s">
        <v>14</v>
      </c>
      <c r="N9" s="11" t="s">
        <v>15</v>
      </c>
      <c r="O9" s="11" t="s">
        <v>13</v>
      </c>
      <c r="P9" s="11"/>
      <c r="Q9" s="11"/>
      <c r="R9" s="11"/>
      <c r="S9" s="11"/>
      <c r="T9" s="11"/>
      <c r="U9" s="11"/>
      <c r="V9" s="11"/>
      <c r="W9" s="11"/>
      <c r="X9" s="23"/>
    </row>
    <row r="10" spans="1:24" x14ac:dyDescent="0.35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2026-10-12T22:19:45Z</dcterms:created>
  <dcterms:modified xsi:type="dcterms:W3CDTF">2026-10-22T22:33:48Z</dcterms:modified>
</cp:coreProperties>
</file>