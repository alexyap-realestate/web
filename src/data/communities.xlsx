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2oontherock8\Projects\alexyaphomes\src\data\"/>
    </mc:Choice>
  </mc:AlternateContent>
  <xr:revisionPtr revIDLastSave="0" documentId="13_ncr:1_{EEBB63F4-22F9-44D0-869A-0E02039E4B1B}" xr6:coauthVersionLast="47" xr6:coauthVersionMax="47" xr10:uidLastSave="{00000000-0000-0000-0000-000000000000}"/>
  <bookViews>
    <workbookView xWindow="11010" yWindow="2640" windowWidth="26980" windowHeight="17510" xr2:uid="{FE6E1545-603F-4F25-A906-A3DAD4925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8" i="1"/>
  <c r="J7" i="1"/>
  <c r="J6" i="1"/>
  <c r="J4" i="1"/>
  <c r="J3" i="1"/>
  <c r="J2" i="1"/>
  <c r="J5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<sst xmlns="http://schemas.openxmlformats.org/spreadsheetml/2006/main" count="81" uniqueCount="52">
  <si>
    <t>name</t>
  </si>
  <si>
    <t>tagline</t>
  </si>
  <si>
    <t>description</t>
  </si>
  <si>
    <t>slug</t>
  </si>
  <si>
    <t>Nestled against the Santa Cruz Mountains, Saratoga offers timeless privacy, premier school districts, and historic hillside acreage.</t>
  </si>
  <si>
    <t>A seamless blend of walkable downtown luxury, Michelin-rated dining, and expansive architectural estates tucked along tree-lined foothills.</t>
  </si>
  <si>
    <t>An entirely residential haven bounded by rolling hills, celebrated for its sprawling lots, discretion, and proximity to downtown Los Gatos.</t>
  </si>
  <si>
    <t>The intellectual epicenter of Silicon Valley, featuring storied tree-canopied avenues, prime architectural heritage, and Stanford vitality.</t>
  </si>
  <si>
    <t>Dedicated to open space and equestrian trails, offering custom modern sanctuaries and classical estates on protected multi-acre parcels.</t>
  </si>
  <si>
    <t>A prestigious South Bay retreat centered around the country club fairway, offering grand custom architecture and guarded tranquility.</t>
  </si>
  <si>
    <t>Celebrated for quiet cul-de-sacs, proximity to Quicksilver parklands, and expansive executive family estates with ridge vistas.</t>
  </si>
  <si>
    <t>Famous for its timeless Craftsman and Spanish revival architecture, charming Lincoln Avenue promenade, and tight-knit neighborhood feel.</t>
  </si>
  <si>
    <t>featured</t>
  </si>
  <si>
    <t>Featured Order</t>
  </si>
  <si>
    <t>Yes</t>
  </si>
  <si>
    <t>https://images.unsplash.com/photo-1600585154340-be6161a56a0c?auto=format&amp;fit=crop&amp;w=1200&amp;q=80</t>
  </si>
  <si>
    <t>https://images.unsplash.com/photo-1600596542815-ffad4c1539a9?auto=format&amp;fit=crop&amp;w=1200&amp;q=80</t>
  </si>
  <si>
    <t>https://images.unsplash.com/photo-1600607687939-ce8a6c25118c?auto=format&amp;fit=crop&amp;w=1200&amp;q=80</t>
  </si>
  <si>
    <t>https://images.unsplash.com/photo-1600566753376-12c8ab7fb75b?auto=format&amp;fit=crop&amp;w=1200&amp;q=80</t>
  </si>
  <si>
    <t>https://images.unsplash.com/photo-1600047509807-ba8f99d2cdde?auto=format&amp;fit=crop&amp;w=1200&amp;q=80</t>
  </si>
  <si>
    <t>https://images.unsplash.com/photo-1600573472591-ee6b68d14c68?auto=format&amp;fit=crop&amp;w=1200&amp;q=80</t>
  </si>
  <si>
    <t>https://images.unsplash.com/photo-1600566752355-35792bedcfea?auto=format&amp;fit=crop&amp;w=1200&amp;q=80</t>
  </si>
  <si>
    <t>city</t>
  </si>
  <si>
    <t>image-1</t>
  </si>
  <si>
    <t>image-2</t>
  </si>
  <si>
    <t>image-3</t>
  </si>
  <si>
    <t>image-4</t>
  </si>
  <si>
    <t>image-5</t>
  </si>
  <si>
    <t>Community-One</t>
  </si>
  <si>
    <t>Community-Two</t>
  </si>
  <si>
    <t>Community-Three</t>
  </si>
  <si>
    <t>Community-Four</t>
  </si>
  <si>
    <t>Community-Five</t>
  </si>
  <si>
    <t>Community-Six</t>
  </si>
  <si>
    <t>Community-Seven</t>
  </si>
  <si>
    <t>Community-Eight</t>
  </si>
  <si>
    <t>City No-01</t>
  </si>
  <si>
    <t>City No-02</t>
  </si>
  <si>
    <t>City No-03</t>
  </si>
  <si>
    <t>City No-04</t>
  </si>
  <si>
    <t>City No-05</t>
  </si>
  <si>
    <t>City No-06</t>
  </si>
  <si>
    <t>City No-07</t>
  </si>
  <si>
    <t>City No-08</t>
  </si>
  <si>
    <t>01 Distinguished Foothill Estates &amp; Private Vineyards</t>
  </si>
  <si>
    <t>02 Historic Charm, Vibrant Town Center &amp; Scenic Ridges</t>
  </si>
  <si>
    <t>03 Exclusive Residential Enclaves &amp; Quiet Elegance</t>
  </si>
  <si>
    <t>04 Crescent Park Grandeur &amp; Silicon Valley Heritage</t>
  </si>
  <si>
    <t>05 Strict Acreage Zoning &amp; Sweeping Valley Panoramas</t>
  </si>
  <si>
    <t>06 Gated Golf Enclaves &amp; Panoramic Skyline Views</t>
  </si>
  <si>
    <t>07 Top-Tier Education &amp; Scenic Foothill Living</t>
  </si>
  <si>
    <t>08 Tree-Lined Avenues &amp; Vibrant Village Warmth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</si>
</sst>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70C0"/>
      <name val="Calibri"/>
      <family val="2"/>
    </font>
    <font>
      <sz val="10"/>
      <color rgb="FF1A1A1A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8F7F4"/>
        <bgColor rgb="FFF8F7F4"/>
      </patternFill>
    </fill>
    <fill>
      <patternFill patternType="solid">
        <fgColor rgb="FFFFFFFF"/>
        <bgColor rgb="FFFFFFFF"/>
      </patternFill>
    </fill>
    <fill>
      <patternFill patternType="solid">
        <fgColor rgb="FFF8F7F4"/>
        <bgColor indexed="64"/>
      </patternFill>
    </fill>
  </fills>
  <borders count="2">
    <border>
      <left/>
      <right/>
      <top/>
      <bottom/>
      <diagonal/>
    </border>
    <border>
      <left style="thin">
        <color rgb="FFE0DED9"/>
      </left>
      <right style="thin">
        <color rgb="FFE0DED9"/>
      </right>
      <top style="thin">
        <color rgb="FFE0DED9"/>
      </top>
      <bottom style="thin">
        <color rgb="FFE0DE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5" borderId="0" xfId="0" quotePrefix="1" applyFont="1" applyFill="1" applyAlignment="1">
      <alignment horizontal="left" vertical="center" wrapText="1"/>
    </xf>
    <xf numFmtId="0" fontId="5" fillId="0" borderId="0" xfId="0" quotePrefix="1" applyFont="1" applyAlignment="1">
      <alignment horizontal="left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left" vertical="center" wrapText="1"/>
    </xf>
    <xf numFmtId="0" fontId="4" fillId="5" borderId="0" xfId="0" quotePrefix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7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0326-1961-46AC-A80E-1EE2BD33E039}">
  <dimension ref="A1:L9"/>
  <sheetViews>
    <sheetView tabSelected="1" workbookViewId="0">
      <selection activeCell="A2" sqref="A2"/>
    </sheetView>
  </sheetViews>
  <sheetFormatPr defaultRowHeight="14.5" x14ac:dyDescent="0.35"/>
  <cols>
    <col min="1" max="1" width="16" customWidth="1"/>
    <col min="2" max="2" width="22.90625" customWidth="1"/>
    <col min="3" max="3" width="45" customWidth="1"/>
    <col min="4" max="4" width="35.453125" customWidth="1"/>
    <col min="5" max="9" width="19.453125" customWidth="1"/>
    <col min="10" max="10" width="19.7265625" customWidth="1"/>
    <col min="11" max="11" width="18.1796875" customWidth="1"/>
    <col min="12" max="12" width="15.6328125" customWidth="1"/>
  </cols>
  <sheetData>
    <row r="1" spans="1:12" ht="28" customHeight="1" x14ac:dyDescent="0.35">
      <c r="A1" s="2" t="s">
        <v>0</v>
      </c>
      <c r="B1" s="2" t="s">
        <v>22</v>
      </c>
      <c r="C1" s="2" t="s">
        <v>1</v>
      </c>
      <c r="D1" s="2" t="s">
        <v>2</v>
      </c>
      <c r="E1" s="13" t="s">
        <v>23</v>
      </c>
      <c r="F1" s="13" t="s">
        <v>24</v>
      </c>
      <c r="G1" s="13" t="s">
        <v>25</v>
      </c>
      <c r="H1" s="13" t="s">
        <v>26</v>
      </c>
      <c r="I1" s="13" t="s">
        <v>27</v>
      </c>
      <c r="J1" s="2" t="s">
        <v>3</v>
      </c>
      <c r="K1" s="2" t="s">
        <v>12</v>
      </c>
      <c r="L1" s="1" t="s">
        <v>13</v>
      </c>
    </row>
    <row r="2" spans="1:12" ht="78" x14ac:dyDescent="0.35">
      <c r="A2" s="15" t="s">
        <v>28</v>
      </c>
      <c r="B2" s="7" t="s">
        <v>36</v>
      </c>
      <c r="C2" s="7" t="s">
        <v>44</v>
      </c>
      <c r="D2" s="7" t="s">
        <v>4</v>
      </c>
      <c r="E2" s="11" t="s">
        <v>15</v>
      </c>
      <c r="F2" s="11" t="s">
        <v>16</v>
      </c>
      <c r="G2" s="11" t="s">
        <v>17</v>
      </c>
      <c r="H2" s="11" t="s">
        <v>15</v>
      </c>
      <c r="I2" s="11" t="s">
        <v>18</v>
      </c>
      <c r="J2" s="7" t="str">
        <f t="shared" ref="J2:J9" si="0">LOWER(SUBSTITUTE(B2, " ", "-"))</f>
        <v>city-no-01</v>
      </c>
      <c r="K2" s="4" t="s">
        <v>14</v>
      </c>
      <c r="L2" s="3" t="str">
        <f>IF(K2="YES", COUNTIF(K$2:K2, "YES") &amp; CHOOSE(MIN(COUNTIF(K$2:K2, "YES"), 4), "st", "nd", "rd", "th"), "")</f>
        <v>1st</v>
      </c>
    </row>
    <row r="3" spans="1:12" ht="78" x14ac:dyDescent="0.35">
      <c r="A3" s="14" t="s">
        <v>29</v>
      </c>
      <c r="B3" s="14" t="s">
        <v>37</v>
      </c>
      <c r="C3" s="9" t="s">
        <v>45</v>
      </c>
      <c r="D3" s="9" t="s">
        <v>5</v>
      </c>
      <c r="E3" s="12" t="s">
        <v>16</v>
      </c>
      <c r="F3" s="12"/>
      <c r="G3" s="12"/>
      <c r="H3" s="12"/>
      <c r="I3" s="12"/>
      <c r="J3" s="9" t="str">
        <f t="shared" si="0"/>
        <v>city-no-02</v>
      </c>
      <c r="K3" s="5"/>
      <c r="L3" s="6" t="str">
        <f>IF(K3="YES", COUNTIF(K$2:K3, "YES") &amp; CHOOSE(MIN(COUNTIF(K$2:K3, "YES"), 4), "st", "nd", "rd", "th"), "")</f>
        <v/>
      </c>
    </row>
    <row r="4" spans="1:12" ht="78" x14ac:dyDescent="0.35">
      <c r="A4" s="15" t="s">
        <v>30</v>
      </c>
      <c r="B4" s="15" t="s">
        <v>38</v>
      </c>
      <c r="C4" s="7" t="s">
        <v>46</v>
      </c>
      <c r="D4" s="7" t="s">
        <v>6</v>
      </c>
      <c r="E4" s="11" t="s">
        <v>17</v>
      </c>
      <c r="F4" s="11" t="s">
        <v>15</v>
      </c>
      <c r="G4" s="11"/>
      <c r="H4" s="11"/>
      <c r="I4" s="11"/>
      <c r="J4" s="7" t="str">
        <f t="shared" si="0"/>
        <v>city-no-03</v>
      </c>
      <c r="K4" s="4" t="s">
        <v>14</v>
      </c>
      <c r="L4" s="3" t="str">
        <f>IF(K4="YES", COUNTIF(K$2:K4, "YES") &amp; CHOOSE(MIN(COUNTIF(K$2:K4, "YES"), 4), "st", "nd", "rd", "th"), "")</f>
        <v>2nd</v>
      </c>
    </row>
    <row r="5" spans="1:12" ht="78" x14ac:dyDescent="0.35">
      <c r="A5" s="14" t="s">
        <v>31</v>
      </c>
      <c r="B5" s="14" t="s">
        <v>39</v>
      </c>
      <c r="C5" s="9" t="s">
        <v>47</v>
      </c>
      <c r="D5" s="9" t="s">
        <v>7</v>
      </c>
      <c r="E5" s="12" t="s">
        <v>15</v>
      </c>
      <c r="F5" s="12" t="s">
        <v>18</v>
      </c>
      <c r="G5" s="12" t="s">
        <v>19</v>
      </c>
      <c r="H5" s="12"/>
      <c r="I5" s="12"/>
      <c r="J5" s="9" t="str">
        <f>LOWER(SUBSTITUTE(B5, " ", "-"))</f>
        <v>city-no-04</v>
      </c>
      <c r="K5" s="5" t="s">
        <v>14</v>
      </c>
      <c r="L5" s="6" t="str">
        <f>IF(K5="YES", COUNTIF(K$2:K5, "YES") &amp; CHOOSE(MIN(COUNTIF(K$2:K5, "YES"), 4), "st", "nd", "rd", "th"), "")</f>
        <v>3rd</v>
      </c>
    </row>
    <row r="6" spans="1:12" ht="78" x14ac:dyDescent="0.35">
      <c r="A6" s="7" t="s">
        <v>32</v>
      </c>
      <c r="B6" s="15" t="s">
        <v>40</v>
      </c>
      <c r="C6" s="7" t="s">
        <v>48</v>
      </c>
      <c r="D6" s="7" t="s">
        <v>8</v>
      </c>
      <c r="E6" s="8" t="s">
        <v>18</v>
      </c>
      <c r="F6" s="8" t="s">
        <v>19</v>
      </c>
      <c r="G6" s="8" t="s">
        <v>20</v>
      </c>
      <c r="H6" s="8" t="s">
        <v>21</v>
      </c>
      <c r="I6" s="8"/>
      <c r="J6" s="7" t="str">
        <f t="shared" ref="J6:J9" si="1">LOWER(SUBSTITUTE(B6, " ", "-"))</f>
        <v>city-no-05</v>
      </c>
      <c r="K6" s="4" t="s">
        <v>14</v>
      </c>
      <c r="L6" s="3" t="str">
        <f>IF(K6="YES", COUNTIF(K$2:K6, "YES") &amp; CHOOSE(MIN(COUNTIF(K$2:K6, "YES"), 4), "st", "nd", "rd", "th"), "")</f>
        <v>4th</v>
      </c>
    </row>
    <row r="7" spans="1:12" ht="78" x14ac:dyDescent="0.35">
      <c r="A7" s="14" t="s">
        <v>33</v>
      </c>
      <c r="B7" s="14" t="s">
        <v>41</v>
      </c>
      <c r="C7" s="9" t="s">
        <v>49</v>
      </c>
      <c r="D7" s="9" t="s">
        <v>9</v>
      </c>
      <c r="E7" s="10" t="s">
        <v>19</v>
      </c>
      <c r="F7" s="10" t="s">
        <v>20</v>
      </c>
      <c r="G7" s="10" t="s">
        <v>21</v>
      </c>
      <c r="H7" s="10" t="s">
        <v>15</v>
      </c>
      <c r="I7" s="10" t="s">
        <v>16</v>
      </c>
      <c r="J7" s="9" t="str">
        <f t="shared" si="1"/>
        <v>city-no-06</v>
      </c>
      <c r="K7" s="5" t="s">
        <v>14</v>
      </c>
      <c r="L7" s="6" t="str">
        <f>IF(K7="YES", COUNTIF(K$2:K7, "YES") &amp; CHOOSE(MIN(COUNTIF(K$2:K7, "YES"), 4), "st", "nd", "rd", "th"), "")</f>
        <v>5th</v>
      </c>
    </row>
    <row r="8" spans="1:12" ht="78" x14ac:dyDescent="0.35">
      <c r="A8" s="7" t="s">
        <v>34</v>
      </c>
      <c r="B8" s="15" t="s">
        <v>42</v>
      </c>
      <c r="C8" s="7" t="s">
        <v>50</v>
      </c>
      <c r="D8" s="7" t="s">
        <v>10</v>
      </c>
      <c r="E8" s="11" t="s">
        <v>20</v>
      </c>
      <c r="F8" s="11" t="s">
        <v>21</v>
      </c>
      <c r="G8" s="11" t="s">
        <v>15</v>
      </c>
      <c r="H8" s="11" t="s">
        <v>16</v>
      </c>
      <c r="I8" s="11" t="s">
        <v>17</v>
      </c>
      <c r="J8" s="7" t="str">
        <f t="shared" si="1"/>
        <v>city-no-07</v>
      </c>
      <c r="K8" s="4" t="s">
        <v>14</v>
      </c>
      <c r="L8" s="3" t="str">
        <f>IF(K8="YES", COUNTIF(K$2:K8, "YES") &amp; CHOOSE(MIN(COUNTIF(K$2:K8, "YES"), 4), "st", "nd", "rd", "th"), "")</f>
        <v>6th</v>
      </c>
    </row>
    <row r="9" spans="1:12" ht="78" x14ac:dyDescent="0.35">
      <c r="A9" s="9" t="s">
        <v>35</v>
      </c>
      <c r="B9" s="14" t="s">
        <v>43</v>
      </c>
      <c r="C9" s="9" t="s">
        <v>51</v>
      </c>
      <c r="D9" s="9" t="s">
        <v>11</v>
      </c>
      <c r="E9" s="12" t="s">
        <v>21</v>
      </c>
      <c r="F9" s="12" t="s">
        <v>15</v>
      </c>
      <c r="G9" s="12" t="s">
        <v>16</v>
      </c>
      <c r="H9" s="12" t="s">
        <v>17</v>
      </c>
      <c r="I9" s="12" t="s">
        <v>15</v>
      </c>
      <c r="J9" s="9" t="str">
        <f t="shared" si="1"/>
        <v>city-no-08</v>
      </c>
      <c r="K9" s="5" t="s">
        <v>14</v>
      </c>
      <c r="L9" s="6" t="str">
        <f>IF(K9="YES", COUNTIF(K$2:K9, "YES") &amp; CHOOSE(MIN(COUNTIF(K$2:K9, "YES"), 4), "st", "nd", "rd", "th"), "")</f>
        <v>7th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Yap</dc:creator>
  <cp:lastModifiedBy>Alex Yap</cp:lastModifiedBy>
  <dcterms:created xsi:type="dcterms:W3CDTF">2026-10-12T22:19:45Z</dcterms:created>
  <dcterms:modified xsi:type="dcterms:W3CDTF">2026-10-15T04:09:49Z</dcterms:modified>
</cp:coreProperties>
</file>