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B5F31605-6C56-466A-B46B-8242FCB7355B}" xr6:coauthVersionLast="47" xr6:coauthVersionMax="47" xr10:uidLastSave="{00000000-0000-0000-0000-000000000000}"/>
  <bookViews>
    <workbookView xWindow="6140" yWindow="3340" windowWidth="2698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 a="1"/>
  <c r="F8" i="1" a="1"/>
  <c r="F7" i="1" a="1"/>
  <c r="F6" i="1" a="1"/>
  <c r="F5" i="1" a="1"/>
  <c r="F4" i="1" a="1"/>
  <c r="F3" i="1" a="1"/>
  <c r="F2" i="1" a="1"/>
  <c r="A9" i="1"/>
  <c r="A8" i="1" s="1"/>
  <c r="A7" i="1" s="1"/>
  <c r="A6" i="1" s="1"/>
  <c r="A5" i="1" s="1"/>
  <c r="A4" i="1" s="1"/>
  <c r="A3" i="1" s="1"/>
  <c r="A2" i="1" s="1"/>
  <c r="M9" i="1"/>
  <c r="M8" i="1"/>
  <c r="M7" i="1"/>
  <c r="M6" i="1"/>
  <c r="M4" i="1"/>
  <c r="M3" i="1"/>
  <c r="M2" i="1"/>
  <c r="M5" i="1"/>
  <c r="O9" i="1"/>
  <c r="O8" i="1"/>
  <c r="O7" i="1"/>
  <c r="O6" i="1"/>
  <c r="O5" i="1"/>
  <c r="O4" i="1"/>
  <c r="O3" i="1"/>
  <c r="O2" i="1"/>
  <c r="G8" i="1" l="1"/>
  <c r="G6" i="1"/>
  <c r="G7" i="1"/>
  <c r="G9" i="1"/>
  <c r="G4" i="1"/>
  <c r="G2" i="1"/>
  <c r="G5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<sst xmlns="http://schemas.openxmlformats.org/spreadsheetml/2006/main" count="86" uniqueCount="61">
  <si>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</si>
  <si>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</si>
  <si>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</si>
  <si>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</si>
  <si>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</si>
  <si>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</si>
  <si>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</si>
  <si>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</si>
  <si>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</si>
  <si>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</si>
  <si>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</si>
  <si>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</si>
  <si>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</si>
  <si>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</si>
  <si>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</si>
  <si>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</si>
  <si>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</si>
  <si>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</si>
  <si>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</si>
  <si>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</si>
  <si>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</si>
  <si>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</si>
  <si>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</si>
  <si>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</si>
  <si>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</si>
  <si>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</si>
  <si>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</si>
  <si>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</si>
  <si>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</si>
  <si>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</si>
  <si>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</si>
  <si>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</si>
  <si>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</si>
  <si>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</si>
  <si>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</si>
  <si>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</si>
  <si>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</si>
  <si>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</si>
  <si>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</si>
  <si>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</si>
  <si>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</si>
  <si>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</si>
  <si>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</si>
  <si>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</si>
  <si>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</si>
  <si>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</si>
  <si>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</si>
  <si>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</si>
  <si>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</si>
  <si>
    <t>Rivermark</t>
  </si>
  <si>
    <t>San Jose</t>
  </si>
  <si>
    <t>The Grand Century</t>
  </si>
  <si>
    <t>Complex 6</t>
  </si>
  <si>
    <t>San Francisco</t>
  </si>
  <si>
    <t>Pruneyard Plaza</t>
  </si>
  <si>
    <t>Campbell</t>
  </si>
  <si>
    <t>Terra Serena Luna</t>
  </si>
  <si>
    <t>Milpitas</t>
  </si>
  <si>
    <t>Fish Town</t>
  </si>
  <si>
    <t>Los Altos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</si>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</sst>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rgb="FF0070C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O9"/>
  <sheetViews>
    <sheetView tabSelected="1" zoomScale="90" zoomScaleNormal="90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2" max="2" width="16" customWidth="1"/>
    <col min="3" max="3" width="22.90625" customWidth="1"/>
    <col min="4" max="4" width="32" customWidth="1"/>
    <col min="5" max="5" width="35.453125" customWidth="1"/>
    <col min="6" max="6" width="32.36328125" customWidth="1"/>
    <col min="7" max="7" width="13.54296875" customWidth="1"/>
    <col min="8" max="12" width="19.453125" customWidth="1"/>
    <col min="13" max="13" width="19.7265625" customWidth="1"/>
    <col min="14" max="14" width="18.1796875" customWidth="1"/>
    <col min="15" max="15" width="15.6328125" customWidth="1"/>
  </cols>
  <sheetData>
    <row r="1" spans="1:15" ht="60" customHeight="1" x14ac:dyDescent="0.35">
      <c r="A1" s="15" t="s">
        <v>42</v>
      </c>
      <c r="B1" s="1" t="s">
        <v>0</v>
      </c>
      <c r="C1" s="1" t="s">
        <v>20</v>
      </c>
      <c r="D1" s="1" t="s">
        <v>1</v>
      </c>
      <c r="E1" s="1" t="s">
        <v>2</v>
      </c>
      <c r="F1" s="17" t="s">
        <v>3</v>
      </c>
      <c r="G1" s="17" t="s">
        <v>60</v>
      </c>
      <c r="H1" s="12" t="s">
        <v>21</v>
      </c>
      <c r="I1" s="12" t="s">
        <v>22</v>
      </c>
      <c r="J1" s="12" t="s">
        <v>23</v>
      </c>
      <c r="K1" s="12" t="s">
        <v>24</v>
      </c>
      <c r="L1" s="12" t="s">
        <v>25</v>
      </c>
      <c r="M1" s="1" t="s">
        <v>3</v>
      </c>
      <c r="N1" s="1" t="s">
        <v>11</v>
      </c>
      <c r="O1" s="20" t="s">
        <v>40</v>
      </c>
    </row>
    <row r="2" spans="1:15" ht="58" customHeight="1" x14ac:dyDescent="0.35">
      <c r="A2" s="2">
        <f>MAX(A3:A1000) + 1</f>
        <v>8</v>
      </c>
      <c r="B2" s="14" t="s">
        <v>49</v>
      </c>
      <c r="C2" s="14" t="s">
        <v>50</v>
      </c>
      <c r="D2" s="6" t="s">
        <v>26</v>
      </c>
      <c r="E2" s="6" t="s">
        <v>41</v>
      </c>
      <c r="F2" s="18" t="str" cm="1">
        <f t="array" ref="F2">LOWER(SUBSTITUTE(TRIM(_xlfn.TEXTJOIN("", TRUE, _xlfn.LET(_xlpm.raw, B2 &amp; " " &amp; C2,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2" s="22" t="str">
        <f t="shared" ref="G2:G5" si="0">IF(COUNTIF(F:F, F2)&gt;1, "Yes", "---")</f>
        <v>Yes</v>
      </c>
      <c r="H2" s="10" t="s">
        <v>48</v>
      </c>
      <c r="I2" s="10" t="s">
        <v>14</v>
      </c>
      <c r="J2" s="10" t="s">
        <v>15</v>
      </c>
      <c r="K2" s="10" t="s">
        <v>13</v>
      </c>
      <c r="L2" s="10" t="s">
        <v>16</v>
      </c>
      <c r="M2" s="6" t="str">
        <f t="shared" ref="M2:M4" si="1">LOWER(SUBSTITUTE(C2, " ", "-"))</f>
        <v>san-jose</v>
      </c>
      <c r="N2" s="3" t="s">
        <v>12</v>
      </c>
      <c r="O2" s="2" t="str">
        <f>IF(N2="YES", COUNTIF(N$2:N2, "YES") &amp; CHOOSE(MIN(COUNTIF(N$2:N2, "YES"), 4), "st", "nd", "rd", "th"), "")</f>
        <v>1st</v>
      </c>
    </row>
    <row r="3" spans="1:15" ht="130" x14ac:dyDescent="0.35">
      <c r="A3" s="16">
        <f t="shared" ref="A3:A9" si="2">MAX(A4:A1001) + 1</f>
        <v>7</v>
      </c>
      <c r="B3" s="13" t="s">
        <v>49</v>
      </c>
      <c r="C3" s="13" t="s">
        <v>50</v>
      </c>
      <c r="D3" s="8" t="s">
        <v>27</v>
      </c>
      <c r="E3" s="8" t="s">
        <v>4</v>
      </c>
      <c r="F3" s="19" t="str" cm="1">
        <f t="array" ref="F3">LOWER(SUBSTITUTE(TRIM(_xlfn.TEXTJOIN("", TRUE, _xlfn.LET(_xlpm.raw, B3 &amp; " " &amp; C3,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3" s="21" t="str">
        <f t="shared" si="0"/>
        <v>Yes</v>
      </c>
      <c r="H3" s="11" t="s">
        <v>34</v>
      </c>
      <c r="I3" s="11"/>
      <c r="J3" s="11"/>
      <c r="K3" s="11"/>
      <c r="L3" s="11"/>
      <c r="M3" s="8" t="str">
        <f t="shared" si="1"/>
        <v>san-jose</v>
      </c>
      <c r="N3" s="4"/>
      <c r="O3" s="5" t="str">
        <f>IF(N3="YES", COUNTIF(N$2:N3, "YES") &amp; CHOOSE(MIN(COUNTIF(N$2:N3, "YES"), 4), "st", "nd", "rd", "th"), "")</f>
        <v/>
      </c>
    </row>
    <row r="4" spans="1:15" ht="130" x14ac:dyDescent="0.35">
      <c r="A4" s="2">
        <f t="shared" si="2"/>
        <v>6</v>
      </c>
      <c r="B4" s="14" t="s">
        <v>49</v>
      </c>
      <c r="C4" s="14" t="s">
        <v>50</v>
      </c>
      <c r="D4" s="6" t="s">
        <v>28</v>
      </c>
      <c r="E4" s="6" t="s">
        <v>5</v>
      </c>
      <c r="F4" s="18" t="str" cm="1">
        <f t="array" ref="F4">LOWER(SUBSTITUTE(TRIM(_xlfn.TEXTJOIN("", TRUE, _xlfn.LET(_xlpm.raw, B4 &amp; " " &amp; C4,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4" s="22" t="str">
        <f t="shared" si="0"/>
        <v>Yes</v>
      </c>
      <c r="H4" s="10" t="s">
        <v>35</v>
      </c>
      <c r="I4" s="10" t="s">
        <v>13</v>
      </c>
      <c r="J4" s="10"/>
      <c r="K4" s="10"/>
      <c r="L4" s="10"/>
      <c r="M4" s="6" t="str">
        <f t="shared" si="1"/>
        <v>san-jose</v>
      </c>
      <c r="N4" s="3" t="s">
        <v>12</v>
      </c>
      <c r="O4" s="2" t="str">
        <f>IF(N4="YES", COUNTIF(N$2:N4, "YES") &amp; CHOOSE(MIN(COUNTIF(N$2:N4, "YES"), 4), "st", "nd", "rd", "th"), "")</f>
        <v>2nd</v>
      </c>
    </row>
    <row r="5" spans="1:15" ht="143" x14ac:dyDescent="0.35">
      <c r="A5" s="16">
        <f t="shared" si="2"/>
        <v>5</v>
      </c>
      <c r="B5" s="13" t="s">
        <v>51</v>
      </c>
      <c r="C5" s="13" t="s">
        <v>50</v>
      </c>
      <c r="D5" s="8" t="s">
        <v>29</v>
      </c>
      <c r="E5" s="8" t="s">
        <v>6</v>
      </c>
      <c r="F5" s="19" t="str" cm="1">
        <f t="array" ref="F5">LOWER(SUBSTITUTE(TRIM(_xlfn.TEXTJOIN("", TRUE, _xlfn.LET(_xlpm.raw, B5 &amp; " " &amp; C5,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the-grand-century-san-jose</v>
      </c>
      <c r="G5" s="21" t="str">
        <f t="shared" si="0"/>
        <v>---</v>
      </c>
      <c r="H5" s="11" t="s">
        <v>43</v>
      </c>
      <c r="I5" s="11" t="s">
        <v>44</v>
      </c>
      <c r="J5" s="11" t="s">
        <v>45</v>
      </c>
      <c r="K5" s="11" t="s">
        <v>46</v>
      </c>
      <c r="L5" s="11" t="s">
        <v>47</v>
      </c>
      <c r="M5" s="8" t="str">
        <f>LOWER(SUBSTITUTE(C5, " ", "-"))</f>
        <v>san-jose</v>
      </c>
      <c r="N5" s="4" t="s">
        <v>12</v>
      </c>
      <c r="O5" s="5" t="str">
        <f>IF(N5="YES", COUNTIF(N$2:N5, "YES") &amp; CHOOSE(MIN(COUNTIF(N$2:N5, "YES"), 4), "st", "nd", "rd", "th"), "")</f>
        <v>3rd</v>
      </c>
    </row>
    <row r="6" spans="1:15" ht="130" x14ac:dyDescent="0.35">
      <c r="A6" s="2">
        <f t="shared" si="2"/>
        <v>4</v>
      </c>
      <c r="B6" s="6" t="s">
        <v>52</v>
      </c>
      <c r="C6" s="14" t="s">
        <v>53</v>
      </c>
      <c r="D6" s="6" t="s">
        <v>30</v>
      </c>
      <c r="E6" s="6" t="s">
        <v>7</v>
      </c>
      <c r="F6" s="18" t="str" cm="1">
        <f t="array" ref="F6">LOWER(SUBSTITUTE(TRIM(_xlfn.TEXTJOIN("", TRUE, _xlfn.LET(_xlpm.raw, B6 &amp; " " &amp; C6,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complex-6-san-francisco</v>
      </c>
      <c r="G6" s="22" t="str">
        <f>IF(COUNTIF(F:F, F6)&gt;1, "Yes", "---")</f>
        <v>---</v>
      </c>
      <c r="H6" s="7" t="s">
        <v>36</v>
      </c>
      <c r="I6" s="7" t="s">
        <v>17</v>
      </c>
      <c r="J6" s="7" t="s">
        <v>18</v>
      </c>
      <c r="K6" s="7" t="s">
        <v>19</v>
      </c>
      <c r="L6" s="7"/>
      <c r="M6" s="6" t="str">
        <f t="shared" ref="M6:M9" si="3">LOWER(SUBSTITUTE(C6, " ", "-"))</f>
        <v>san-francisco</v>
      </c>
      <c r="N6" s="3" t="s">
        <v>12</v>
      </c>
      <c r="O6" s="2" t="str">
        <f>IF(N6="YES", COUNTIF(N$2:N6, "YES") &amp; CHOOSE(MIN(COUNTIF(N$2:N6, "YES"), 4), "st", "nd", "rd", "th"), "")</f>
        <v>4th</v>
      </c>
    </row>
    <row r="7" spans="1:15" ht="130" x14ac:dyDescent="0.35">
      <c r="A7" s="16">
        <f t="shared" si="2"/>
        <v>3</v>
      </c>
      <c r="B7" s="13" t="s">
        <v>54</v>
      </c>
      <c r="C7" s="13" t="s">
        <v>55</v>
      </c>
      <c r="D7" s="8" t="s">
        <v>31</v>
      </c>
      <c r="E7" s="8" t="s">
        <v>8</v>
      </c>
      <c r="F7" s="19" t="str" cm="1">
        <f t="array" ref="F7">LOWER(SUBSTITUTE(TRIM(_xlfn.TEXTJOIN("", TRUE, _xlfn.LET(_xlpm.raw, B7 &amp; " " &amp; C7,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pruneyard-plaza-campbell</v>
      </c>
      <c r="G7" s="21" t="str">
        <f t="shared" ref="G7:G9" si="4">IF(COUNTIF(F:F, F7)&gt;1, "Yes", "---")</f>
        <v>---</v>
      </c>
      <c r="H7" s="9" t="s">
        <v>37</v>
      </c>
      <c r="I7" s="9" t="s">
        <v>18</v>
      </c>
      <c r="J7" s="9" t="s">
        <v>19</v>
      </c>
      <c r="K7" s="9" t="s">
        <v>13</v>
      </c>
      <c r="L7" s="9" t="s">
        <v>14</v>
      </c>
      <c r="M7" s="8" t="str">
        <f t="shared" si="3"/>
        <v>campbell</v>
      </c>
      <c r="N7" s="4" t="s">
        <v>12</v>
      </c>
      <c r="O7" s="5" t="str">
        <f>IF(N7="YES", COUNTIF(N$2:N7, "YES") &amp; CHOOSE(MIN(COUNTIF(N$2:N7, "YES"), 4), "st", "nd", "rd", "th"), "")</f>
        <v>5th</v>
      </c>
    </row>
    <row r="8" spans="1:15" ht="130" x14ac:dyDescent="0.35">
      <c r="A8" s="2">
        <f t="shared" si="2"/>
        <v>2</v>
      </c>
      <c r="B8" s="6" t="s">
        <v>56</v>
      </c>
      <c r="C8" s="14" t="s">
        <v>57</v>
      </c>
      <c r="D8" s="6" t="s">
        <v>32</v>
      </c>
      <c r="E8" s="6" t="s">
        <v>9</v>
      </c>
      <c r="F8" s="18" t="str" cm="1">
        <f t="array" ref="F8">LOWER(SUBSTITUTE(TRIM(_xlfn.TEXTJOIN("", TRUE, _xlfn.LET(_xlpm.raw, B8 &amp; " " &amp; C8,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terra-serena-luna-milpitas</v>
      </c>
      <c r="G8" s="22" t="str">
        <f t="shared" si="4"/>
        <v>---</v>
      </c>
      <c r="H8" s="10" t="s">
        <v>38</v>
      </c>
      <c r="I8" s="10" t="s">
        <v>19</v>
      </c>
      <c r="J8" s="10" t="s">
        <v>13</v>
      </c>
      <c r="K8" s="10" t="s">
        <v>14</v>
      </c>
      <c r="L8" s="10" t="s">
        <v>15</v>
      </c>
      <c r="M8" s="6" t="str">
        <f t="shared" si="3"/>
        <v>milpitas</v>
      </c>
      <c r="N8" s="3" t="s">
        <v>12</v>
      </c>
      <c r="O8" s="2" t="str">
        <f>IF(N8="YES", COUNTIF(N$2:N8, "YES") &amp; CHOOSE(MIN(COUNTIF(N$2:N8, "YES"), 4), "st", "nd", "rd", "th"), "")</f>
        <v>6th</v>
      </c>
    </row>
    <row r="9" spans="1:15" ht="130" x14ac:dyDescent="0.35">
      <c r="A9" s="16">
        <f t="shared" si="2"/>
        <v>1</v>
      </c>
      <c r="B9" s="8" t="s">
        <v>58</v>
      </c>
      <c r="C9" s="13" t="s">
        <v>59</v>
      </c>
      <c r="D9" s="8" t="s">
        <v>33</v>
      </c>
      <c r="E9" s="8" t="s">
        <v>10</v>
      </c>
      <c r="F9" s="19" t="str" cm="1">
        <f t="array" ref="F9">LOWER(SUBSTITUTE(TRIM(_xlfn.TEXTJOIN("", TRUE, _xlfn.LET(_xlpm.raw, B9 &amp; " " &amp; C9,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fish-town-los-altos</v>
      </c>
      <c r="G9" s="21" t="str">
        <f t="shared" si="4"/>
        <v>---</v>
      </c>
      <c r="H9" s="11" t="s">
        <v>39</v>
      </c>
      <c r="I9" s="11" t="s">
        <v>13</v>
      </c>
      <c r="J9" s="11" t="s">
        <v>14</v>
      </c>
      <c r="K9" s="11" t="s">
        <v>15</v>
      </c>
      <c r="L9" s="11" t="s">
        <v>13</v>
      </c>
      <c r="M9" s="8" t="str">
        <f t="shared" si="3"/>
        <v>los-altos</v>
      </c>
      <c r="N9" s="4" t="s">
        <v>12</v>
      </c>
      <c r="O9" s="5" t="str">
        <f>IF(N9="YES", COUNTIF(N$2:N9, "YES") &amp; CHOOSE(MIN(COUNTIF(N$2:N9, "YES"), 4), "st", "nd", "rd", "th"), "")</f>
        <v>7th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2026-10-21T12:31:15Z</dcterms:modified>
</cp:coreProperties>
</file>