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E05612A3-E66F-46C9-A88F-721D4AF1EC47}" xr6:coauthVersionLast="47" xr6:coauthVersionMax="47" xr10:uidLastSave="{00000000-0000-0000-0000-000000000000}"/>
  <bookViews>
    <workbookView xWindow="10530" yWindow="3070" windowWidth="2698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8" i="1" s="1"/>
  <c r="A7" i="1" s="1"/>
  <c r="A6" i="1" s="1"/>
  <c r="A5" i="1" s="1"/>
  <c r="A4" i="1" s="1"/>
  <c r="A3" i="1" s="1"/>
  <c r="A2" i="1" s="1"/>
  <c r="K9" i="1"/>
  <c r="K8" i="1"/>
  <c r="K7" i="1"/>
  <c r="K6" i="1"/>
  <c r="K4" i="1"/>
  <c r="K3" i="1"/>
  <c r="K2" i="1"/>
  <c r="K5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<sst xmlns="http://schemas.openxmlformats.org/spreadsheetml/2006/main" count="84" uniqueCount="65">
  <si>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</si>
  <si>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</si>
  <si>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</si>
  <si>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</si>
  <si>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</si>
  <si>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</si>
  <si>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</si>
  <si>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</si>
  <si>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</si>
  <si>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</si>
  <si>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</si>
  <si>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</si>
  <si>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</si>
  <si>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</si>
  <si>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</si>
  <si>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</si>
  <si>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</si>
  <si>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</si>
  <si>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</si>
  <si>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</si>
  <si>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</si>
  <si>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</si>
  <si>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</si>
  <si>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</si>
  <si>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</si>
  <si>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</si>
  <si>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Community-One</t>
  </si>
  <si>
    <t>Community-Two</t>
  </si>
  <si>
    <t>Community-Three</t>
  </si>
  <si>
    <t>Community-Four</t>
  </si>
  <si>
    <t>Community-Five</t>
  </si>
  <si>
    <t>Community-Six</t>
  </si>
  <si>
    <t>Community-Seven</t>
  </si>
  <si>
    <t>Community-Eight</t>
  </si>
  <si>
    <t>City No-01</t>
  </si>
  <si>
    <t>City No-02</t>
  </si>
  <si>
    <t>City No-03</t>
  </si>
  <si>
    <t>City No-04</t>
  </si>
  <si>
    <t>City No-05</t>
  </si>
  <si>
    <t>City No-06</t>
  </si>
  <si>
    <t>City No-07</t>
  </si>
  <si>
    <t>City No-08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</si>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</sst>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6" fillId="2" borderId="0" xfId="0" quotePrefix="1" applyFont="1" applyFill="1" applyAlignment="1">
      <alignment horizontal="center" vertical="center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M9"/>
  <sheetViews>
    <sheetView tabSelected="1" zoomScale="90" zoomScaleNormal="90"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2" max="2" width="16" customWidth="1"/>
    <col min="3" max="3" width="22.90625" customWidth="1"/>
    <col min="4" max="4" width="32" customWidth="1"/>
    <col min="5" max="5" width="35.453125" customWidth="1"/>
    <col min="6" max="10" width="19.453125" customWidth="1"/>
    <col min="11" max="11" width="19.7265625" customWidth="1"/>
    <col min="12" max="12" width="18.1796875" customWidth="1"/>
    <col min="13" max="13" width="15.6328125" customWidth="1"/>
  </cols>
  <sheetData>
    <row r="1" spans="1:13" ht="28" customHeight="1" x14ac:dyDescent="0.35">
      <c r="A1" s="16" t="s">
        <v>58</v>
      </c>
      <c r="B1" s="1" t="s">
        <v>0</v>
      </c>
      <c r="C1" s="1" t="s">
        <v>20</v>
      </c>
      <c r="D1" s="1" t="s">
        <v>1</v>
      </c>
      <c r="E1" s="1" t="s">
        <v>2</v>
      </c>
      <c r="F1" s="12" t="s">
        <v>21</v>
      </c>
      <c r="G1" s="12" t="s">
        <v>22</v>
      </c>
      <c r="H1" s="12" t="s">
        <v>23</v>
      </c>
      <c r="I1" s="12" t="s">
        <v>24</v>
      </c>
      <c r="J1" s="12" t="s">
        <v>25</v>
      </c>
      <c r="K1" s="1" t="s">
        <v>3</v>
      </c>
      <c r="L1" s="1" t="s">
        <v>11</v>
      </c>
      <c r="M1" s="15" t="s">
        <v>56</v>
      </c>
    </row>
    <row r="2" spans="1:13" ht="58" customHeight="1" x14ac:dyDescent="0.35">
      <c r="A2" s="2">
        <f>MAX(A3:A1000) + 1</f>
        <v>8</v>
      </c>
      <c r="B2" s="14" t="s">
        <v>26</v>
      </c>
      <c r="C2" s="6" t="s">
        <v>34</v>
      </c>
      <c r="D2" s="6" t="s">
        <v>42</v>
      </c>
      <c r="E2" s="6" t="s">
        <v>57</v>
      </c>
      <c r="F2" s="10" t="s">
        <v>64</v>
      </c>
      <c r="G2" s="10" t="s">
        <v>14</v>
      </c>
      <c r="H2" s="10" t="s">
        <v>15</v>
      </c>
      <c r="I2" s="10" t="s">
        <v>13</v>
      </c>
      <c r="J2" s="10" t="s">
        <v>16</v>
      </c>
      <c r="K2" s="6" t="str">
        <f t="shared" ref="K2:K4" si="0">LOWER(SUBSTITUTE(C2, " ", "-"))</f>
        <v>city-no-01</v>
      </c>
      <c r="L2" s="3" t="s">
        <v>12</v>
      </c>
      <c r="M2" s="2" t="str">
        <f>IF(L2="YES", COUNTIF(L$2:L2, "YES") &amp; CHOOSE(MIN(COUNTIF(L$2:L2, "YES"), 4), "st", "nd", "rd", "th"), "")</f>
        <v>1st</v>
      </c>
    </row>
    <row r="3" spans="1:13" ht="130" x14ac:dyDescent="0.35">
      <c r="A3" s="17">
        <f t="shared" ref="A3:A9" si="1">MAX(A4:A1001) + 1</f>
        <v>7</v>
      </c>
      <c r="B3" s="13" t="s">
        <v>27</v>
      </c>
      <c r="C3" s="13" t="s">
        <v>35</v>
      </c>
      <c r="D3" s="8" t="s">
        <v>43</v>
      </c>
      <c r="E3" s="8" t="s">
        <v>4</v>
      </c>
      <c r="F3" s="11" t="s">
        <v>50</v>
      </c>
      <c r="G3" s="11"/>
      <c r="H3" s="11"/>
      <c r="I3" s="11"/>
      <c r="J3" s="11"/>
      <c r="K3" s="8" t="str">
        <f t="shared" si="0"/>
        <v>city-no-02</v>
      </c>
      <c r="L3" s="4"/>
      <c r="M3" s="5" t="str">
        <f>IF(L3="YES", COUNTIF(L$2:L3, "YES") &amp; CHOOSE(MIN(COUNTIF(L$2:L3, "YES"), 4), "st", "nd", "rd", "th"), "")</f>
        <v/>
      </c>
    </row>
    <row r="4" spans="1:13" ht="130" x14ac:dyDescent="0.35">
      <c r="A4" s="2">
        <f t="shared" si="1"/>
        <v>6</v>
      </c>
      <c r="B4" s="14" t="s">
        <v>28</v>
      </c>
      <c r="C4" s="14" t="s">
        <v>36</v>
      </c>
      <c r="D4" s="6" t="s">
        <v>44</v>
      </c>
      <c r="E4" s="6" t="s">
        <v>5</v>
      </c>
      <c r="F4" s="10" t="s">
        <v>51</v>
      </c>
      <c r="G4" s="10" t="s">
        <v>13</v>
      </c>
      <c r="H4" s="10"/>
      <c r="I4" s="10"/>
      <c r="J4" s="10"/>
      <c r="K4" s="6" t="str">
        <f t="shared" si="0"/>
        <v>city-no-03</v>
      </c>
      <c r="L4" s="3" t="s">
        <v>12</v>
      </c>
      <c r="M4" s="2" t="str">
        <f>IF(L4="YES", COUNTIF(L$2:L4, "YES") &amp; CHOOSE(MIN(COUNTIF(L$2:L4, "YES"), 4), "st", "nd", "rd", "th"), "")</f>
        <v>2nd</v>
      </c>
    </row>
    <row r="5" spans="1:13" ht="143" x14ac:dyDescent="0.35">
      <c r="A5" s="17">
        <f t="shared" si="1"/>
        <v>5</v>
      </c>
      <c r="B5" s="13" t="s">
        <v>29</v>
      </c>
      <c r="C5" s="13" t="s">
        <v>37</v>
      </c>
      <c r="D5" s="8" t="s">
        <v>45</v>
      </c>
      <c r="E5" s="8" t="s">
        <v>6</v>
      </c>
      <c r="F5" s="11" t="s">
        <v>59</v>
      </c>
      <c r="G5" s="11" t="s">
        <v>60</v>
      </c>
      <c r="H5" s="11" t="s">
        <v>61</v>
      </c>
      <c r="I5" s="11" t="s">
        <v>62</v>
      </c>
      <c r="J5" s="11" t="s">
        <v>63</v>
      </c>
      <c r="K5" s="8" t="str">
        <f>LOWER(SUBSTITUTE(C5, " ", "-"))</f>
        <v>city-no-04</v>
      </c>
      <c r="L5" s="4" t="s">
        <v>12</v>
      </c>
      <c r="M5" s="5" t="str">
        <f>IF(L5="YES", COUNTIF(L$2:L5, "YES") &amp; CHOOSE(MIN(COUNTIF(L$2:L5, "YES"), 4), "st", "nd", "rd", "th"), "")</f>
        <v>3rd</v>
      </c>
    </row>
    <row r="6" spans="1:13" ht="130" x14ac:dyDescent="0.35">
      <c r="A6" s="2">
        <f t="shared" si="1"/>
        <v>4</v>
      </c>
      <c r="B6" s="6" t="s">
        <v>30</v>
      </c>
      <c r="C6" s="14" t="s">
        <v>38</v>
      </c>
      <c r="D6" s="6" t="s">
        <v>46</v>
      </c>
      <c r="E6" s="6" t="s">
        <v>7</v>
      </c>
      <c r="F6" s="7" t="s">
        <v>52</v>
      </c>
      <c r="G6" s="7" t="s">
        <v>17</v>
      </c>
      <c r="H6" s="7" t="s">
        <v>18</v>
      </c>
      <c r="I6" s="7" t="s">
        <v>19</v>
      </c>
      <c r="J6" s="7"/>
      <c r="K6" s="6" t="str">
        <f t="shared" ref="K6:K9" si="2">LOWER(SUBSTITUTE(C6, " ", "-"))</f>
        <v>city-no-05</v>
      </c>
      <c r="L6" s="3" t="s">
        <v>12</v>
      </c>
      <c r="M6" s="2" t="str">
        <f>IF(L6="YES", COUNTIF(L$2:L6, "YES") &amp; CHOOSE(MIN(COUNTIF(L$2:L6, "YES"), 4), "st", "nd", "rd", "th"), "")</f>
        <v>4th</v>
      </c>
    </row>
    <row r="7" spans="1:13" ht="130" x14ac:dyDescent="0.35">
      <c r="A7" s="17">
        <f t="shared" si="1"/>
        <v>3</v>
      </c>
      <c r="B7" s="13" t="s">
        <v>31</v>
      </c>
      <c r="C7" s="13" t="s">
        <v>39</v>
      </c>
      <c r="D7" s="8" t="s">
        <v>47</v>
      </c>
      <c r="E7" s="8" t="s">
        <v>8</v>
      </c>
      <c r="F7" s="9" t="s">
        <v>53</v>
      </c>
      <c r="G7" s="9" t="s">
        <v>18</v>
      </c>
      <c r="H7" s="9" t="s">
        <v>19</v>
      </c>
      <c r="I7" s="9" t="s">
        <v>13</v>
      </c>
      <c r="J7" s="9" t="s">
        <v>14</v>
      </c>
      <c r="K7" s="8" t="str">
        <f t="shared" si="2"/>
        <v>city-no-06</v>
      </c>
      <c r="L7" s="4" t="s">
        <v>12</v>
      </c>
      <c r="M7" s="5" t="str">
        <f>IF(L7="YES", COUNTIF(L$2:L7, "YES") &amp; CHOOSE(MIN(COUNTIF(L$2:L7, "YES"), 4), "st", "nd", "rd", "th"), "")</f>
        <v>5th</v>
      </c>
    </row>
    <row r="8" spans="1:13" ht="130" x14ac:dyDescent="0.35">
      <c r="A8" s="2">
        <f t="shared" si="1"/>
        <v>2</v>
      </c>
      <c r="B8" s="6" t="s">
        <v>32</v>
      </c>
      <c r="C8" s="14" t="s">
        <v>40</v>
      </c>
      <c r="D8" s="6" t="s">
        <v>48</v>
      </c>
      <c r="E8" s="6" t="s">
        <v>9</v>
      </c>
      <c r="F8" s="10" t="s">
        <v>54</v>
      </c>
      <c r="G8" s="10" t="s">
        <v>19</v>
      </c>
      <c r="H8" s="10" t="s">
        <v>13</v>
      </c>
      <c r="I8" s="10" t="s">
        <v>14</v>
      </c>
      <c r="J8" s="10" t="s">
        <v>15</v>
      </c>
      <c r="K8" s="6" t="str">
        <f t="shared" si="2"/>
        <v>city-no-07</v>
      </c>
      <c r="L8" s="3" t="s">
        <v>12</v>
      </c>
      <c r="M8" s="2" t="str">
        <f>IF(L8="YES", COUNTIF(L$2:L8, "YES") &amp; CHOOSE(MIN(COUNTIF(L$2:L8, "YES"), 4), "st", "nd", "rd", "th"), "")</f>
        <v>6th</v>
      </c>
    </row>
    <row r="9" spans="1:13" ht="130" x14ac:dyDescent="0.35">
      <c r="A9" s="17">
        <f t="shared" si="1"/>
        <v>1</v>
      </c>
      <c r="B9" s="8" t="s">
        <v>33</v>
      </c>
      <c r="C9" s="13" t="s">
        <v>41</v>
      </c>
      <c r="D9" s="8" t="s">
        <v>49</v>
      </c>
      <c r="E9" s="8" t="s">
        <v>10</v>
      </c>
      <c r="F9" s="11" t="s">
        <v>55</v>
      </c>
      <c r="G9" s="11" t="s">
        <v>13</v>
      </c>
      <c r="H9" s="11" t="s">
        <v>14</v>
      </c>
      <c r="I9" s="11" t="s">
        <v>15</v>
      </c>
      <c r="J9" s="11" t="s">
        <v>13</v>
      </c>
      <c r="K9" s="8" t="str">
        <f t="shared" si="2"/>
        <v>city-no-08</v>
      </c>
      <c r="L9" s="4" t="s">
        <v>12</v>
      </c>
      <c r="M9" s="5" t="str">
        <f>IF(L9="YES", COUNTIF(L$2:L9, "YES") &amp; CHOOSE(MIN(COUNTIF(L$2:L9, "YES"), 4), "st", "nd", "rd", "th"), "")</f>
        <v>7th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2026-10-19T04:02:06Z</dcterms:modified>
</cp:coreProperties>
</file>