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2oontherock8\Projects\alexyaphomes\src\data\"/>
    </mc:Choice>
  </mc:AlternateContent>
  <xr:revisionPtr revIDLastSave="0" documentId="13_ncr:1_{D225288A-9638-48E3-930F-ABB7DA6AC64D}" xr6:coauthVersionLast="47" xr6:coauthVersionMax="47" xr10:uidLastSave="{00000000-0000-0000-0000-000000000000}"/>
  <bookViews>
    <workbookView xWindow="5800" yWindow="3000" windowWidth="26980" windowHeight="17510" xr2:uid="{00000000-000D-0000-FFFF-FFFF00000000}"/>
  </bookViews>
  <sheets>
    <sheet name="Prope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3" i="1"/>
  <c r="P2" i="1"/>
  <c r="P4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A21" i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  <c r="A2" i="1" s="1"/>
  <c r="R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<sst xmlns="http://schemas.openxmlformats.org/spreadsheetml/2006/main" count="557" uniqueCount="204">
  <si>
    <t>status</t>
  </si>
  <si>
    <t>address</t>
  </si>
  <si>
    <t>city</t>
  </si>
  <si>
    <t>state</t>
  </si>
  <si>
    <t>zip</t>
  </si>
  <si>
    <t>bedroom</t>
  </si>
  <si>
    <t>bathroom</t>
  </si>
  <si>
    <t>square</t>
  </si>
  <si>
    <t>price</t>
  </si>
  <si>
    <t>featured</t>
  </si>
  <si>
    <t>Active</t>
  </si>
  <si>
    <t>Saratoga</t>
  </si>
  <si>
    <t>95070</t>
  </si>
  <si>
    <t>https://images.unsplash.com/photo-1600585154340-be6161a56a0c?auto=format&amp;fit=crop&amp;w=800&amp;q=80</t>
  </si>
  <si>
    <t>YES</t>
  </si>
  <si>
    <t>Los Gatos</t>
  </si>
  <si>
    <t>https://images.unsplash.com/photo-1600596542815-ffad4c1539a9?auto=format&amp;fit=crop&amp;w=800&amp;q=80</t>
  </si>
  <si>
    <t>Pending</t>
  </si>
  <si>
    <t>Monte Sereno</t>
  </si>
  <si>
    <t>95030</t>
  </si>
  <si>
    <t>https://images.unsplash.com/photo-1600607687939-ce8a6c25118c?auto=format&amp;fit=crop&amp;w=800&amp;q=80</t>
  </si>
  <si>
    <t>3271 Silver Creek Vista</t>
  </si>
  <si>
    <t>San Jose</t>
  </si>
  <si>
    <t>95138</t>
  </si>
  <si>
    <t>https://images.unsplash.com/photo-1600566753376-12c8ab7fb75b?auto=format&amp;fit=crop&amp;w=800&amp;q=80</t>
  </si>
  <si>
    <t>5045 Crescent Park Manor</t>
  </si>
  <si>
    <t>Palo Alto</t>
  </si>
  <si>
    <t>94301</t>
  </si>
  <si>
    <t>https://images.unsplash.com/photo-1613490493576-7fde63acd811?auto=format&amp;fit=crop&amp;w=800&amp;q=80</t>
  </si>
  <si>
    <t>3044 Almaden Country Club</t>
  </si>
  <si>
    <t>95120</t>
  </si>
  <si>
    <t>https://images.unsplash.com/photo-1600210492486-724fe5c67fb0?auto=format&amp;fit=crop&amp;w=800&amp;q=80</t>
  </si>
  <si>
    <t>Sold</t>
  </si>
  <si>
    <t>14550 Big Basin Way</t>
  </si>
  <si>
    <t>210 Shannon Road</t>
  </si>
  <si>
    <t>95032</t>
  </si>
  <si>
    <t>https://images.unsplash.com/photo-1600607687920-4e2a09cf159d?auto=format&amp;fit=crop&amp;w=800&amp;q=80</t>
  </si>
  <si>
    <t>16200 Greenwood Lane</t>
  </si>
  <si>
    <t>https://images.unsplash.com/photo-1613977257363-707ba9348227?auto=format&amp;fit=crop&amp;w=800&amp;q=80</t>
  </si>
  <si>
    <t>389 University Avenue</t>
  </si>
  <si>
    <t>Los Altos</t>
  </si>
  <si>
    <t>94022</t>
  </si>
  <si>
    <t>1050 Waverley Street</t>
  </si>
  <si>
    <t>6220 Country Club Pkwy</t>
  </si>
  <si>
    <t>19540 Glen Una Drive</t>
  </si>
  <si>
    <t>15420 Francis Oaks Way</t>
  </si>
  <si>
    <t>18230 Daves Avenue</t>
  </si>
  <si>
    <t>23000 Congress Springs Rd</t>
  </si>
  <si>
    <t>750 University Avenue</t>
  </si>
  <si>
    <t>16100 Kennedy Road</t>
  </si>
  <si>
    <t>21540 Almaden Road</t>
  </si>
  <si>
    <t>4120 Miranda Avenue</t>
  </si>
  <si>
    <t>94306</t>
  </si>
  <si>
    <t>CA</t>
  </si>
  <si>
    <t>image-01</t>
  </si>
  <si>
    <t>image-02</t>
  </si>
  <si>
    <t>image-03</t>
  </si>
  <si>
    <t>image-04</t>
  </si>
  <si>
    <t>image-05</t>
  </si>
  <si>
    <t>image-06</t>
  </si>
  <si>
    <t>image-07</t>
  </si>
  <si>
    <t>image-08</t>
  </si>
  <si>
    <t>image-09</t>
  </si>
  <si>
    <t>image-10</t>
  </si>
  <si>
    <t>image-11</t>
  </si>
  <si>
    <t>image-12</t>
  </si>
  <si>
    <t>image-13</t>
  </si>
  <si>
    <t>image-14</t>
  </si>
  <si>
    <t>image-15</t>
  </si>
  <si>
    <t>image-16</t>
  </si>
  <si>
    <t>image-17</t>
  </si>
  <si>
    <t>image-18</t>
  </si>
  <si>
    <t>image-19</t>
  </si>
  <si>
    <t>image-20</t>
  </si>
  <si>
    <t>image-21</t>
  </si>
  <si>
    <t>image-22</t>
  </si>
  <si>
    <t>image-23</t>
  </si>
  <si>
    <t>image-24</t>
  </si>
  <si>
    <t>image-25</t>
  </si>
  <si>
    <t>image-26</t>
  </si>
  <si>
    <t>image-27</t>
  </si>
  <si>
    <t>image-28</t>
  </si>
  <si>
    <t>image-29</t>
  </si>
  <si>
    <t>image-30</t>
  </si>
  <si>
    <t>image-31</t>
  </si>
  <si>
    <t>image-32</t>
  </si>
  <si>
    <t>image-33</t>
  </si>
  <si>
    <t>image-34</t>
  </si>
  <si>
    <t>image-35</t>
  </si>
  <si>
    <t>image-36</t>
  </si>
  <si>
    <t>image-37</t>
  </si>
  <si>
    <t>image-38</t>
  </si>
  <si>
    <t>image-39</t>
  </si>
  <si>
    <t>image-40</t>
  </si>
  <si>
    <t>image-41</t>
  </si>
  <si>
    <t>image-42</t>
  </si>
  <si>
    <t>image-43</t>
  </si>
  <si>
    <t>image-44</t>
  </si>
  <si>
    <t>image-45</t>
  </si>
  <si>
    <t>image-46</t>
  </si>
  <si>
    <t>image-47</t>
  </si>
  <si>
    <t>image-48</t>
  </si>
  <si>
    <t>image-49</t>
  </si>
  <si>
    <t>image-50</t>
  </si>
  <si>
    <t>image-51</t>
  </si>
  <si>
    <t>image-52</t>
  </si>
  <si>
    <t>image-53</t>
  </si>
  <si>
    <t>image-54</t>
  </si>
  <si>
    <t>image-55</t>
  </si>
  <si>
    <t>image-56</t>
  </si>
  <si>
    <t>image-57</t>
  </si>
  <si>
    <t>image-58</t>
  </si>
  <si>
    <t>image-59</t>
  </si>
  <si>
    <t>image-60</t>
  </si>
  <si>
    <t>image-61</t>
  </si>
  <si>
    <t>image-62</t>
  </si>
  <si>
    <t>image-63</t>
  </si>
  <si>
    <t>image-64</t>
  </si>
  <si>
    <t>image-65</t>
  </si>
  <si>
    <t>image-66</t>
  </si>
  <si>
    <t>image-67</t>
  </si>
  <si>
    <t>image-68</t>
  </si>
  <si>
    <t>image-69</t>
  </si>
  <si>
    <t>image-70</t>
  </si>
  <si>
    <t>image-71</t>
  </si>
  <si>
    <t>image-72</t>
  </si>
  <si>
    <t>image-73</t>
  </si>
  <si>
    <t>image-74</t>
  </si>
  <si>
    <t>image-75</t>
  </si>
  <si>
    <t>image-76</t>
  </si>
  <si>
    <t>image-77</t>
  </si>
  <si>
    <t>image-78</t>
  </si>
  <si>
    <t>image-79</t>
  </si>
  <si>
    <t>image-80</t>
  </si>
  <si>
    <t>image-81</t>
  </si>
  <si>
    <t>image-82</t>
  </si>
  <si>
    <t>image-83</t>
  </si>
  <si>
    <t>image-84</t>
  </si>
  <si>
    <t>image-85</t>
  </si>
  <si>
    <t>image-86</t>
  </si>
  <si>
    <t>image-87</t>
  </si>
  <si>
    <t>image-88</t>
  </si>
  <si>
    <t>image-89</t>
  </si>
  <si>
    <t>image-90</t>
  </si>
  <si>
    <t>image-91</t>
  </si>
  <si>
    <t>image-92</t>
  </si>
  <si>
    <t>image-93</t>
  </si>
  <si>
    <t>image-94</t>
  </si>
  <si>
    <t>image-95</t>
  </si>
  <si>
    <t>image-96</t>
  </si>
  <si>
    <t>image-97</t>
  </si>
  <si>
    <t>image-98</t>
  </si>
  <si>
    <t>image-99</t>
  </si>
  <si>
    <t>image-100</t>
  </si>
  <si>
    <t>lot-size</t>
  </si>
  <si>
    <t>Single Family</t>
  </si>
  <si>
    <t>description</t>
  </si>
  <si>
    <t>https://res.cloudinary.com/qogrq7ve/image/upload/v1790284080/main-sample.png</t>
  </si>
  <si>
    <t>https://res.cloudinary.com/qogrq7ve/image/upload/v1790284079/cld-sample-3.jpg</t>
  </si>
  <si>
    <t>https://res.cloudinary.com/qogrq7ve/image/upload/v1790284079/cld-sample-5.jpg</t>
  </si>
  <si>
    <t>https://res.cloudinary.com/qogrq7ve/image/upload/v1790284079/cld-sample-4.jpg</t>
  </si>
  <si>
    <t>https://res.cloudinary.com/qogrq7ve/image/upload/v1790284079/cld-sample.jpg</t>
  </si>
  <si>
    <t>https://res.cloudinary.com/qogrq7ve/image/upload/v1790284076/samples/cup-on-a-table.jpg</t>
  </si>
  <si>
    <t>https://res.cloudinary.com/qogrq7ve/image/upload/v1790284076/samples/coffee.jpg</t>
  </si>
  <si>
    <t>https://res.cloudinary.com/qogrq7ve/image/upload/v1790284074/samples/breakfast.jpg</t>
  </si>
  <si>
    <t>https://res.cloudinary.com/qogrq7ve/image/upload/v1790284073/samples/balloons.jpg</t>
  </si>
  <si>
    <t>year-built</t>
  </si>
  <si>
    <t>featured-order</t>
  </si>
  <si>
    <t>property-type</t>
  </si>
  <si>
    <t>slug</t>
  </si>
  <si>
    <t>https://res.cloudinary.com/qogrq7ve/image/upload/v1790284068/samples/ecommerce/accessories-bag.jpg</t>
  </si>
  <si>
    <t>https://res.cloudinary.com/qogrq7ve/image/upload/v1790284068/samples/ecommerce/leather-bag-gray.jpg</t>
  </si>
  <si>
    <t>https://res.cloudinary.com/qogrq7ve/image/upload/v1790284067/samples/people/jazz.jpg</t>
  </si>
  <si>
    <t>https://res.cloudinary.com/qogrq7ve/image/upload/v1790284067/samples/landscapes/architecture-signs.jpg</t>
  </si>
  <si>
    <t>https://res.cloudinary.com/qogrq7ve/image/upload/v1790284067/samples/bike.jpg</t>
  </si>
  <si>
    <t>https://res.cloudinary.com/qogrq7ve/image/upload/v1790284066/samples/landscapes/girl-urban-view.jpg</t>
  </si>
  <si>
    <t>https://res.cloudinary.com/qogrq7ve/image/upload/v1790284066/samples/sheep.jpg</t>
  </si>
  <si>
    <t>https://res.cloudinary.com/qogrq7ve/image/upload/v1790284066/samples/food/pot-mussels.jpg</t>
  </si>
  <si>
    <t>https://res.cloudinary.com/qogrq7ve/image/upload/v1790284065/samples/people/kitchen-bar.jpg</t>
  </si>
  <si>
    <t>https://res.cloudinary.com/qogrq7ve/image/upload/v1790284064/samples/ecommerce/analog-classic.jpg</t>
  </si>
  <si>
    <t>https://images.unsplash.com/photo-1724100688250-44853bbada21?ixid=M3w4MjcwNjd8MHwxfHNlYXJjaHwyN3x8aW50ZXJpb3IlMjBwaG90b3xlbnwwfHx8fDE3OTIxNzQzMzl8MA&amp;ixlib=rb-4.1.0&amp;w=1200&amp;fit=max&amp;q=80</t>
  </si>
  <si>
    <t>https://images.unsplash.com/photo-1724100688254-4038b53a7567?ixid=M3w4MjcwNjd8MHwxfHNlYXJjaHwyOHx8aW50ZXJpb3IlMjBwaG90b3xlbnwwfHx8fDE3OTIxNzQzMzl8MA&amp;ixlib=rb-4.1.0&amp;w=1200&amp;fit=max&amp;q=80</t>
  </si>
  <si>
    <t>https://images.unsplash.com/photo-1731445549627-67b0aaa4aba7?ixid=M3w4MjcwNjd8MHwxfHNlYXJjaHwzMHx8aW50ZXJpb3IlMjBwaG90b3xlbnwwfHx8fDE3OTIxNzQzMzl8MA&amp;ixlib=rb-4.1.0&amp;w=1200&amp;fit=max&amp;q=80</t>
  </si>
  <si>
    <t>https://images.unsplash.com/photo-1618832479672-07d622002c20?ixid=M3w4MjcwNjd8MHwxfHNlYXJjaHw2fHxpbnRlcmlvciUyMHBob3RvfGVufDB8fHx8MTc5MjE3NDMzOXww&amp;ixlib=rb-4.1.0&amp;w=1200&amp;fit=max&amp;q=80</t>
  </si>
  <si>
    <t>https://images.unsplash.com/photo-1724861233646-0f469e9ee27f?ixid=M3w4MjcwNjd8MHwxfHNlYXJjaHw4fHxpbnRlcmlvciUyMHBob3RvfGVufDB8fHx8MTc5MjE3NDMzOXww&amp;ixlib=rb-4.1.0&amp;w=1200&amp;fit=max&amp;q=80</t>
  </si>
  <si>
    <t>https://images.unsplash.com/photo-1467385829985-2b0fb82b5193?ixid=M3w4MjcwNjd8MHwxfHNlYXJjaHwxMHx8ZXh0ZXJpb3J8ZW58MHx8fHwxNzkyMTc1MDgxfDA&amp;ixlib=rb-4.1.0&amp;w=1200&amp;fit=max&amp;q=80</t>
  </si>
  <si>
    <t>https://images.unsplash.com/photo-1605276374104-dee2a0ed3cd6?ixid=M3w4MjcwNjd8MHwxfHNlYXJjaHwxM3x8ZXh0ZXJpb3J8ZW58MHx8fHwxNzkyMTc1MDgxfDA&amp;ixlib=rb-4.1.0&amp;w=1200&amp;fit=max&amp;q=80</t>
  </si>
  <si>
    <t>https://images.unsplash.com/photo-1560184897-ae75f418493e?ixid=M3w4MjcwNjd8MHwxfHNlYXJjaHwxNHx8ZXh0ZXJpb3J8ZW58MHx8fHwxNzkyMTc1MDgxfDA&amp;ixlib=rb-4.1.0&amp;w=1200&amp;fit=max&amp;q=80</t>
  </si>
  <si>
    <t>https://images.unsplash.com/photo-1647579350413-a6ada4e480ed?ixid=M3w4MjcwNjd8MHwxfHNlYXJjaHwyMXx8ZXh0ZXJpb3J8ZW58MHx8fHwxNzkyMTc1MDgxfDA&amp;ixlib=rb-4.1.0&amp;w=1200&amp;fit=max&amp;q=80</t>
  </si>
  <si>
    <t>https://images.unsplash.com/photo-1532323544230-7191fd51bc1b?ixid=M3w4MjcwNjd8MHwxfHNlYXJjaHwyOHx8ZXh0ZXJpb3J8ZW58MHx8fHwxNzkyMTc1MDgxfDA&amp;ixlib=rb-4.1.0&amp;w=1200&amp;fit=max&amp;q=80</t>
  </si>
  <si>
    <t>https://images.unsplash.com/photo-1787094497609-5efe6029b950?ixid=M3w4MjcwNjd8MHwxfHNlYXJjaHwxNXx8aG91c2V8ZW58MHx8fHwxNzkyMTc1MjE4fDA&amp;ixlib=rb-4.1.0&amp;w=1200&amp;fit=max&amp;q=80</t>
  </si>
  <si>
    <t>https://images.unsplash.com/photo-1567496898669-ee935f5f647a?ixid=M3w4MjcwNjd8MHwxfHNlYXJjaHwzMHx8aG9tZXN8ZW58MHx8fHwxNzkyMTc1NDMyfDA&amp;ixlib=rb-4.1.0&amp;w=1200&amp;fit=max&amp;q=80</t>
  </si>
  <si>
    <t>https://images.unsplash.com/photo-1531971589569-0d9370cbe1e5?ixid=M3w4MjcwNjd8MHwxfHNlYXJjaHwyfHxsdXh1cnklMjBob21lfGVufDB8fHx8MTc5MjE3NTgwNHww&amp;ixlib=rb-4.1.0&amp;w=1200&amp;fit=max&amp;q=80</t>
  </si>
  <si>
    <t>https://images.unsplash.com/photo-1781795414968-8ece31826420?ixid=M3w4MjcwNjd8MHwxfHNlYXJjaHw5fHxsdXh1cnklMjBob21lfGVufDB8fHx8MTc5MjE3NTgwNHww&amp;ixlib=rb-4.1.0&amp;w=1200&amp;fit=max&amp;q=80</t>
  </si>
  <si>
    <t>https://images.unsplash.com/photo-1582268611958-ebfd161ef9cf?ixid=M3w4MjcwNjd8MHwxfHNlYXJjaHwxNHx8bHV4dXJ5JTIwaG9tZXxlbnwwfHx8fDE3OTIxNzU4MDR8MA&amp;ixlib=rb-4.1.0&amp;w=1200&amp;fit=max&amp;q=80</t>
  </si>
  <si>
    <t>https://images.unsplash.com/photo-1583608205776-bfd35f0d9f83?ixid=M3w4MjcwNjd8MHwxfHNlYXJjaHwxMHx8aG91c2V8ZW58MHx8fHwxNzkyMTc1MjE4fDA&amp;ixlib=rb-4.1.0&amp;w=1200&amp;fit=max&amp;q=80</t>
  </si>
  <si>
    <t>https://images.unsplash.com/photo-1568605114967-8130f3a36994?ixid=M3w4MjcwNjd8MHwxfHNlYXJjaHwxMXx8aG9tZXxlbnwwfHx8fDE3OTIxNzU5NjN8MA&amp;ixlib=rb-4.1.0&amp;w=1200&amp;fit=max&amp;q=80</t>
  </si>
  <si>
    <t>https://images.unsplash.com/photo-1523217582562-09d0def993a6?ixid=M3w4MjcwNjd8MHwxfHNlYXJjaHwyMHx8aG9tZXxlbnwwfHx8fDE3OTIxNzU5NjN8MA&amp;ixlib=rb-4.1.0&amp;w=1200&amp;fit=max&amp;q=80</t>
  </si>
  <si>
    <t>Deciding whether to sell or stay in your home is one of the biggest choices you will make. It takes careful planning to get the highest return on your equity.
## What It Can Take To Stay Put
**Important Notice:** Wanting to stay in a home you love makes sense, but most properties require *significant* updates to make single-level living truly functional long-term.
&gt; "A home gets the highest buyer attention in its first ten days on the market."
Here are three essential factors to evaluate:
- Single-story living options and step-free entries
- Doorway and hallway clearances
Strategic bathroom modifications
---
### Additional Perspectives
Before making any major renovations, read the latest research from the [Harvard Housing Studies](https://www.jchs.harvard.edu) to see which improvements offer real value.</t>
  </si>
  <si>
    <t>no</t>
  </si>
  <si>
    <t>55 E Hamilton Ave</t>
  </si>
  <si>
    <t>Campbell</t>
  </si>
  <si>
    <t>duplicated-slug</t>
  </si>
  <si>
    <t>95008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</si>
</sst>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1A1A1A"/>
      <name val="Calibri"/>
      <family val="2"/>
    </font>
    <font>
      <sz val="10"/>
      <color rgb="FF0070C0"/>
      <name val="Calibri"/>
      <family val="2"/>
    </font>
    <font>
      <sz val="10"/>
      <name val="Calibri"/>
      <family val="2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8F7F4"/>
        <bgColor rgb="FFF8F7F4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E0DED9"/>
      </left>
      <right style="thin">
        <color rgb="FFE0DED9"/>
      </right>
      <top style="thin">
        <color rgb="FFE0DED9"/>
      </top>
      <bottom style="thin">
        <color rgb="FFE0DE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3" borderId="1" xfId="0" quotePrefix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quotePrefix="1" applyFont="1" applyFill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21"/>
  <sheetViews>
    <sheetView tabSelected="1" topLeftCell="D1" zoomScale="90" zoomScaleNormal="90" workbookViewId="0">
      <pane ySplit="1" topLeftCell="A2" activePane="bottomLeft" state="frozen"/>
      <selection pane="bottomLeft" activeCell="N3" sqref="N3"/>
    </sheetView>
  </sheetViews>
  <sheetFormatPr defaultRowHeight="14.5" x14ac:dyDescent="0.35"/>
  <cols>
    <col min="2" max="2" width="13" customWidth="1"/>
    <col min="3" max="3" width="30" customWidth="1"/>
    <col min="4" max="4" width="18" customWidth="1"/>
    <col min="5" max="5" width="9.1796875" customWidth="1"/>
    <col min="6" max="6" width="7.6328125" customWidth="1"/>
    <col min="7" max="8" width="9.1796875" customWidth="1"/>
    <col min="9" max="9" width="10.6328125" customWidth="1"/>
    <col min="10" max="10" width="9.90625" customWidth="1"/>
    <col min="11" max="11" width="9.81640625" customWidth="1"/>
    <col min="12" max="12" width="12.81640625" customWidth="1"/>
    <col min="13" max="13" width="13.54296875" customWidth="1"/>
    <col min="14" max="14" width="42.36328125" customWidth="1"/>
    <col min="15" max="15" width="28.36328125" customWidth="1"/>
    <col min="16" max="16" width="9.90625" customWidth="1"/>
    <col min="17" max="17" width="13" customWidth="1"/>
    <col min="18" max="18" width="13.81640625" bestFit="1" customWidth="1"/>
    <col min="19" max="19" width="8.7265625" customWidth="1"/>
    <col min="24" max="24" width="8.7265625" customWidth="1"/>
  </cols>
  <sheetData>
    <row r="1" spans="1:118" ht="60" customHeight="1" x14ac:dyDescent="0.35">
      <c r="A1" s="19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2" t="s">
        <v>154</v>
      </c>
      <c r="K1" s="1" t="s">
        <v>8</v>
      </c>
      <c r="L1" s="12" t="s">
        <v>168</v>
      </c>
      <c r="M1" s="12" t="s">
        <v>166</v>
      </c>
      <c r="N1" s="23" t="s">
        <v>156</v>
      </c>
      <c r="O1" s="24" t="s">
        <v>169</v>
      </c>
      <c r="P1" s="24" t="s">
        <v>202</v>
      </c>
      <c r="Q1" s="1" t="s">
        <v>9</v>
      </c>
      <c r="R1" s="25" t="s">
        <v>167</v>
      </c>
      <c r="S1" s="12" t="s">
        <v>54</v>
      </c>
      <c r="T1" s="12" t="s">
        <v>55</v>
      </c>
      <c r="U1" s="12" t="s">
        <v>56</v>
      </c>
      <c r="V1" s="12" t="s">
        <v>57</v>
      </c>
      <c r="W1" s="12" t="s">
        <v>58</v>
      </c>
      <c r="X1" s="12" t="s">
        <v>59</v>
      </c>
      <c r="Y1" s="12" t="s">
        <v>60</v>
      </c>
      <c r="Z1" s="12" t="s">
        <v>61</v>
      </c>
      <c r="AA1" s="12" t="s">
        <v>62</v>
      </c>
      <c r="AB1" s="12" t="s">
        <v>63</v>
      </c>
      <c r="AC1" s="12" t="s">
        <v>64</v>
      </c>
      <c r="AD1" s="12" t="s">
        <v>65</v>
      </c>
      <c r="AE1" s="12" t="s">
        <v>66</v>
      </c>
      <c r="AF1" s="12" t="s">
        <v>67</v>
      </c>
      <c r="AG1" s="12" t="s">
        <v>68</v>
      </c>
      <c r="AH1" s="12" t="s">
        <v>69</v>
      </c>
      <c r="AI1" s="12" t="s">
        <v>70</v>
      </c>
      <c r="AJ1" s="12" t="s">
        <v>71</v>
      </c>
      <c r="AK1" s="12" t="s">
        <v>72</v>
      </c>
      <c r="AL1" s="12" t="s">
        <v>73</v>
      </c>
      <c r="AM1" s="12" t="s">
        <v>74</v>
      </c>
      <c r="AN1" s="12" t="s">
        <v>75</v>
      </c>
      <c r="AO1" s="12" t="s">
        <v>76</v>
      </c>
      <c r="AP1" s="12" t="s">
        <v>77</v>
      </c>
      <c r="AQ1" s="12" t="s">
        <v>78</v>
      </c>
      <c r="AR1" s="12" t="s">
        <v>79</v>
      </c>
      <c r="AS1" s="12" t="s">
        <v>80</v>
      </c>
      <c r="AT1" s="12" t="s">
        <v>81</v>
      </c>
      <c r="AU1" s="12" t="s">
        <v>82</v>
      </c>
      <c r="AV1" s="12" t="s">
        <v>83</v>
      </c>
      <c r="AW1" s="12" t="s">
        <v>84</v>
      </c>
      <c r="AX1" s="12" t="s">
        <v>85</v>
      </c>
      <c r="AY1" s="12" t="s">
        <v>86</v>
      </c>
      <c r="AZ1" s="12" t="s">
        <v>87</v>
      </c>
      <c r="BA1" s="12" t="s">
        <v>88</v>
      </c>
      <c r="BB1" s="12" t="s">
        <v>89</v>
      </c>
      <c r="BC1" s="12" t="s">
        <v>90</v>
      </c>
      <c r="BD1" s="12" t="s">
        <v>91</v>
      </c>
      <c r="BE1" s="12" t="s">
        <v>92</v>
      </c>
      <c r="BF1" s="12" t="s">
        <v>93</v>
      </c>
      <c r="BG1" s="12" t="s">
        <v>94</v>
      </c>
      <c r="BH1" s="12" t="s">
        <v>95</v>
      </c>
      <c r="BI1" s="12" t="s">
        <v>96</v>
      </c>
      <c r="BJ1" s="12" t="s">
        <v>97</v>
      </c>
      <c r="BK1" s="12" t="s">
        <v>98</v>
      </c>
      <c r="BL1" s="12" t="s">
        <v>99</v>
      </c>
      <c r="BM1" s="12" t="s">
        <v>100</v>
      </c>
      <c r="BN1" s="12" t="s">
        <v>101</v>
      </c>
      <c r="BO1" s="12" t="s">
        <v>102</v>
      </c>
      <c r="BP1" s="12" t="s">
        <v>103</v>
      </c>
      <c r="BQ1" s="12" t="s">
        <v>104</v>
      </c>
      <c r="BR1" s="12" t="s">
        <v>105</v>
      </c>
      <c r="BS1" s="12" t="s">
        <v>106</v>
      </c>
      <c r="BT1" s="12" t="s">
        <v>107</v>
      </c>
      <c r="BU1" s="12" t="s">
        <v>108</v>
      </c>
      <c r="BV1" s="12" t="s">
        <v>109</v>
      </c>
      <c r="BW1" s="12" t="s">
        <v>110</v>
      </c>
      <c r="BX1" s="12" t="s">
        <v>111</v>
      </c>
      <c r="BY1" s="12" t="s">
        <v>112</v>
      </c>
      <c r="BZ1" s="12" t="s">
        <v>113</v>
      </c>
      <c r="CA1" s="12" t="s">
        <v>114</v>
      </c>
      <c r="CB1" s="12" t="s">
        <v>115</v>
      </c>
      <c r="CC1" s="12" t="s">
        <v>116</v>
      </c>
      <c r="CD1" s="12" t="s">
        <v>117</v>
      </c>
      <c r="CE1" s="12" t="s">
        <v>118</v>
      </c>
      <c r="CF1" s="12" t="s">
        <v>119</v>
      </c>
      <c r="CG1" s="12" t="s">
        <v>120</v>
      </c>
      <c r="CH1" s="12" t="s">
        <v>121</v>
      </c>
      <c r="CI1" s="12" t="s">
        <v>122</v>
      </c>
      <c r="CJ1" s="12" t="s">
        <v>123</v>
      </c>
      <c r="CK1" s="12" t="s">
        <v>124</v>
      </c>
      <c r="CL1" s="12" t="s">
        <v>125</v>
      </c>
      <c r="CM1" s="12" t="s">
        <v>126</v>
      </c>
      <c r="CN1" s="12" t="s">
        <v>127</v>
      </c>
      <c r="CO1" s="12" t="s">
        <v>128</v>
      </c>
      <c r="CP1" s="12" t="s">
        <v>129</v>
      </c>
      <c r="CQ1" s="12" t="s">
        <v>130</v>
      </c>
      <c r="CR1" s="12" t="s">
        <v>131</v>
      </c>
      <c r="CS1" s="12" t="s">
        <v>132</v>
      </c>
      <c r="CT1" s="12" t="s">
        <v>133</v>
      </c>
      <c r="CU1" s="12" t="s">
        <v>134</v>
      </c>
      <c r="CV1" s="12" t="s">
        <v>135</v>
      </c>
      <c r="CW1" s="12" t="s">
        <v>136</v>
      </c>
      <c r="CX1" s="12" t="s">
        <v>137</v>
      </c>
      <c r="CY1" s="12" t="s">
        <v>138</v>
      </c>
      <c r="CZ1" s="12" t="s">
        <v>139</v>
      </c>
      <c r="DA1" s="12" t="s">
        <v>140</v>
      </c>
      <c r="DB1" s="12" t="s">
        <v>141</v>
      </c>
      <c r="DC1" s="12" t="s">
        <v>142</v>
      </c>
      <c r="DD1" s="12" t="s">
        <v>143</v>
      </c>
      <c r="DE1" s="12" t="s">
        <v>144</v>
      </c>
      <c r="DF1" s="12" t="s">
        <v>145</v>
      </c>
      <c r="DG1" s="12" t="s">
        <v>146</v>
      </c>
      <c r="DH1" s="12" t="s">
        <v>147</v>
      </c>
      <c r="DI1" s="12" t="s">
        <v>148</v>
      </c>
      <c r="DJ1" s="12" t="s">
        <v>149</v>
      </c>
      <c r="DK1" s="12" t="s">
        <v>150</v>
      </c>
      <c r="DL1" s="12" t="s">
        <v>151</v>
      </c>
      <c r="DM1" s="12" t="s">
        <v>152</v>
      </c>
      <c r="DN1" s="12" t="s">
        <v>153</v>
      </c>
    </row>
    <row r="2" spans="1:118" ht="44" customHeight="1" x14ac:dyDescent="0.35">
      <c r="A2" s="9">
        <f>MAX(A3:A1000) + 1</f>
        <v>20</v>
      </c>
      <c r="B2" s="2" t="s">
        <v>10</v>
      </c>
      <c r="C2" s="8" t="s">
        <v>200</v>
      </c>
      <c r="D2" s="3" t="s">
        <v>201</v>
      </c>
      <c r="E2" s="2" t="s">
        <v>53</v>
      </c>
      <c r="F2" s="2">
        <v>95008</v>
      </c>
      <c r="G2" s="2">
        <v>5</v>
      </c>
      <c r="H2" s="2">
        <v>7</v>
      </c>
      <c r="I2" s="11">
        <v>8400</v>
      </c>
      <c r="J2" s="11">
        <v>12000</v>
      </c>
      <c r="K2" s="4">
        <v>14850000</v>
      </c>
      <c r="L2" s="2" t="s">
        <v>155</v>
      </c>
      <c r="M2" s="2">
        <v>1970</v>
      </c>
      <c r="N2" s="15" t="s">
        <v>198</v>
      </c>
      <c r="O2" s="17" t="str">
        <f>LOWER(SUBSTITUTE(TRIM(C2)," ","-")&amp;"-"&amp;(SUBSTITUTE(TRIM(D2)," ","-")&amp;"-"&amp;E2&amp;"-"&amp;F2))</f>
        <v>55-e-hamilton-ave-campbell-ca-95008</v>
      </c>
      <c r="P2" s="21" t="str">
        <f t="shared" ref="P2:P3" si="0">IF(COUNTIF(O:O, TRIM(O2)) &gt; 1, "Yes", "---")</f>
        <v>Yes</v>
      </c>
      <c r="Q2" s="2" t="s">
        <v>14</v>
      </c>
      <c r="R2" s="9" t="str">
        <f>IF(Q2="YES", COUNTIF($Q$2:Q2, "YES") &amp; CHOOSE(MIN(COUNTIF($Q$2:Q2, "YES"), 4), "st", "nd", "rd", "th"), "")</f>
        <v>1st</v>
      </c>
      <c r="S2" s="13" t="s">
        <v>191</v>
      </c>
      <c r="T2" s="13" t="s">
        <v>20</v>
      </c>
      <c r="U2" s="13" t="s">
        <v>159</v>
      </c>
      <c r="V2" s="13" t="s">
        <v>161</v>
      </c>
      <c r="W2" s="13" t="s">
        <v>162</v>
      </c>
      <c r="X2" s="13" t="s">
        <v>157</v>
      </c>
      <c r="Y2" s="13" t="s">
        <v>20</v>
      </c>
      <c r="Z2" s="13" t="s">
        <v>159</v>
      </c>
      <c r="AA2" s="13" t="s">
        <v>161</v>
      </c>
      <c r="AB2" s="13" t="s">
        <v>162</v>
      </c>
      <c r="AC2" s="13" t="s">
        <v>157</v>
      </c>
      <c r="AD2" s="13" t="s">
        <v>20</v>
      </c>
      <c r="AE2" s="13" t="s">
        <v>159</v>
      </c>
      <c r="AF2" s="13" t="s">
        <v>161</v>
      </c>
      <c r="AG2" s="13" t="s">
        <v>162</v>
      </c>
      <c r="AH2" s="13" t="s">
        <v>157</v>
      </c>
      <c r="AI2" s="13" t="s">
        <v>20</v>
      </c>
      <c r="AJ2" s="13" t="s">
        <v>159</v>
      </c>
      <c r="AK2" s="13" t="s">
        <v>161</v>
      </c>
      <c r="AL2" s="13" t="s">
        <v>162</v>
      </c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</row>
    <row r="3" spans="1:118" ht="44" customHeight="1" x14ac:dyDescent="0.35">
      <c r="A3" s="20">
        <f t="shared" ref="A3:A21" si="1">MAX(A4:A1001) + 1</f>
        <v>19</v>
      </c>
      <c r="B3" s="5" t="s">
        <v>10</v>
      </c>
      <c r="C3" s="6" t="s">
        <v>200</v>
      </c>
      <c r="D3" s="6" t="s">
        <v>201</v>
      </c>
      <c r="E3" s="5" t="s">
        <v>53</v>
      </c>
      <c r="F3" s="26" t="s">
        <v>203</v>
      </c>
      <c r="G3" s="5">
        <v>6</v>
      </c>
      <c r="H3" s="5">
        <v>8</v>
      </c>
      <c r="I3" s="5">
        <v>10200</v>
      </c>
      <c r="J3" s="5"/>
      <c r="K3" s="7">
        <v>12500000</v>
      </c>
      <c r="L3" s="5" t="s">
        <v>155</v>
      </c>
      <c r="M3" s="5">
        <v>1980</v>
      </c>
      <c r="N3" s="16"/>
      <c r="O3" s="18" t="str">
        <f>LOWER(SUBSTITUTE(TRIM(C3)," ","-")&amp;"-"&amp;(SUBSTITUTE(TRIM(D3)," ","-")&amp;"-"&amp;E3&amp;"-"&amp;F3))</f>
        <v>55-e-hamilton-ave-campbell-ca-95008</v>
      </c>
      <c r="P3" s="22" t="str">
        <f t="shared" si="0"/>
        <v>Yes</v>
      </c>
      <c r="Q3" s="5"/>
      <c r="R3" s="10" t="str">
        <f>IF(Q3="YES", COUNTIF($Q$2:Q3, "YES") &amp; CHOOSE(MIN(COUNTIF($Q$2:Q3, "YES"), 4), "st", "nd", "rd", "th"), "")</f>
        <v/>
      </c>
      <c r="S3" s="14" t="s">
        <v>192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8" ht="44" customHeight="1" x14ac:dyDescent="0.35">
      <c r="A4" s="9">
        <f t="shared" si="1"/>
        <v>18</v>
      </c>
      <c r="B4" s="2" t="s">
        <v>17</v>
      </c>
      <c r="C4" s="3" t="s">
        <v>200</v>
      </c>
      <c r="D4" s="3" t="s">
        <v>201</v>
      </c>
      <c r="E4" s="2" t="s">
        <v>53</v>
      </c>
      <c r="F4" s="2" t="s">
        <v>203</v>
      </c>
      <c r="G4" s="2">
        <v>4</v>
      </c>
      <c r="H4" s="2">
        <v>6</v>
      </c>
      <c r="I4" s="2">
        <v>7150</v>
      </c>
      <c r="J4" s="2"/>
      <c r="K4" s="4">
        <v>9200000</v>
      </c>
      <c r="L4" s="2" t="s">
        <v>155</v>
      </c>
      <c r="M4" s="2">
        <v>1960</v>
      </c>
      <c r="N4" s="15"/>
      <c r="O4" s="17" t="str">
        <f>LOWER(SUBSTITUTE(TRIM(C4)," ","-")&amp;"-"&amp;(SUBSTITUTE(TRIM(D4)," ","-")&amp;"-"&amp;E4&amp;"-"&amp;F4))</f>
        <v>55-e-hamilton-ave-campbell-ca-95008</v>
      </c>
      <c r="P4" s="21" t="str">
        <f>IF(COUNTIF(O:O, TRIM(O4)) &gt; 1, "Yes", "---")</f>
        <v>Yes</v>
      </c>
      <c r="Q4" s="2"/>
      <c r="R4" s="9" t="str">
        <f>IF(Q4="YES", COUNTIF($Q$2:Q4, "YES") &amp; CHOOSE(MIN(COUNTIF($Q$2:Q4, "YES"), 4), "st", "nd", "rd", "th"), "")</f>
        <v/>
      </c>
      <c r="S4" s="13" t="s">
        <v>193</v>
      </c>
      <c r="T4" s="13" t="s">
        <v>36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</row>
    <row r="5" spans="1:118" ht="44" customHeight="1" x14ac:dyDescent="0.35">
      <c r="A5" s="20">
        <f t="shared" si="1"/>
        <v>17</v>
      </c>
      <c r="B5" s="5" t="s">
        <v>10</v>
      </c>
      <c r="C5" s="6" t="s">
        <v>21</v>
      </c>
      <c r="D5" s="6" t="s">
        <v>22</v>
      </c>
      <c r="E5" s="5" t="s">
        <v>53</v>
      </c>
      <c r="F5" s="5" t="s">
        <v>23</v>
      </c>
      <c r="G5" s="5">
        <v>4</v>
      </c>
      <c r="H5" s="5">
        <v>5</v>
      </c>
      <c r="I5" s="5">
        <v>5890</v>
      </c>
      <c r="J5" s="5"/>
      <c r="K5" s="7">
        <v>7400000</v>
      </c>
      <c r="L5" s="5" t="s">
        <v>155</v>
      </c>
      <c r="M5" s="5">
        <v>1931</v>
      </c>
      <c r="N5" s="16"/>
      <c r="O5" s="18" t="str">
        <f>LOWER(SUBSTITUTE(TRIM(C5)," ","-")&amp;"-"&amp;(SUBSTITUTE(TRIM(D5)," ","-")&amp;"-"&amp;E5&amp;"-"&amp;F5))</f>
        <v>3271-silver-creek-vista-san-jose-ca-95138</v>
      </c>
      <c r="P5" s="22" t="str">
        <f t="shared" ref="P5:P21" si="2">IF(COUNTIF(O:O, TRIM(O5)) &gt; 1, "Yes", "---")</f>
        <v>---</v>
      </c>
      <c r="Q5" s="5" t="s">
        <v>14</v>
      </c>
      <c r="R5" s="10" t="str">
        <f>IF(Q5="YES", COUNTIF($Q$2:Q5, "YES") &amp; CHOOSE(MIN(COUNTIF($Q$2:Q5, "YES"), 4), "st", "nd", "rd", "th"), "")</f>
        <v>2nd</v>
      </c>
      <c r="S5" s="14" t="s">
        <v>194</v>
      </c>
      <c r="T5" s="14" t="s">
        <v>38</v>
      </c>
      <c r="U5" s="14" t="s">
        <v>162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</row>
    <row r="6" spans="1:118" ht="44" customHeight="1" x14ac:dyDescent="0.35">
      <c r="A6" s="9">
        <f t="shared" si="1"/>
        <v>16</v>
      </c>
      <c r="B6" s="2" t="s">
        <v>10</v>
      </c>
      <c r="C6" s="3" t="s">
        <v>25</v>
      </c>
      <c r="D6" s="3" t="s">
        <v>26</v>
      </c>
      <c r="E6" s="2" t="s">
        <v>53</v>
      </c>
      <c r="F6" s="2" t="s">
        <v>27</v>
      </c>
      <c r="G6" s="2">
        <v>5</v>
      </c>
      <c r="H6" s="2">
        <v>7</v>
      </c>
      <c r="I6" s="2">
        <v>9100</v>
      </c>
      <c r="J6" s="2"/>
      <c r="K6" s="4">
        <v>16750000</v>
      </c>
      <c r="L6" s="2" t="s">
        <v>155</v>
      </c>
      <c r="M6" s="2">
        <v>1990</v>
      </c>
      <c r="N6" s="15"/>
      <c r="O6" s="17" t="str">
        <f>LOWER(SUBSTITUTE(TRIM(C6)," ","-")&amp;"-"&amp;(SUBSTITUTE(TRIM(D6)," ","-")&amp;"-"&amp;E6&amp;"-"&amp;F6))</f>
        <v>5045-crescent-park-manor-palo-alto-ca-94301</v>
      </c>
      <c r="P6" s="21" t="str">
        <f t="shared" si="2"/>
        <v>---</v>
      </c>
      <c r="Q6" s="2" t="s">
        <v>14</v>
      </c>
      <c r="R6" s="9" t="str">
        <f>IF(Q6="YES", COUNTIF($Q$2:Q6, "YES") &amp; CHOOSE(MIN(COUNTIF($Q$2:Q6, "YES"), 4), "st", "nd", "rd", "th"), "")</f>
        <v>3rd</v>
      </c>
      <c r="S6" s="13" t="s">
        <v>195</v>
      </c>
      <c r="T6" s="13" t="s">
        <v>13</v>
      </c>
      <c r="U6" s="13" t="s">
        <v>163</v>
      </c>
      <c r="V6" s="13" t="s">
        <v>165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</row>
    <row r="7" spans="1:118" ht="44" customHeight="1" x14ac:dyDescent="0.35">
      <c r="A7" s="20">
        <f t="shared" si="1"/>
        <v>15</v>
      </c>
      <c r="B7" s="5" t="s">
        <v>17</v>
      </c>
      <c r="C7" s="6" t="s">
        <v>29</v>
      </c>
      <c r="D7" s="6" t="s">
        <v>22</v>
      </c>
      <c r="E7" s="5" t="s">
        <v>53</v>
      </c>
      <c r="F7" s="5" t="s">
        <v>30</v>
      </c>
      <c r="G7" s="5">
        <v>5</v>
      </c>
      <c r="H7" s="5">
        <v>5</v>
      </c>
      <c r="I7" s="5">
        <v>5450</v>
      </c>
      <c r="J7" s="5"/>
      <c r="K7" s="7">
        <v>6900000</v>
      </c>
      <c r="L7" s="5" t="s">
        <v>155</v>
      </c>
      <c r="M7" s="5">
        <v>2001</v>
      </c>
      <c r="N7" s="16"/>
      <c r="O7" s="18" t="str">
        <f>LOWER(SUBSTITUTE(TRIM(C7)," ","-")&amp;"-"&amp;(SUBSTITUTE(TRIM(D7)," ","-")&amp;"-"&amp;E7&amp;"-"&amp;F7))</f>
        <v>3044-almaden-country-club-san-jose-ca-95120</v>
      </c>
      <c r="P7" s="22" t="str">
        <f t="shared" si="2"/>
        <v>---</v>
      </c>
      <c r="Q7" s="5" t="s">
        <v>14</v>
      </c>
      <c r="R7" s="10" t="str">
        <f>IF(Q7="YES", COUNTIF($Q$2:Q7, "YES") &amp; CHOOSE(MIN(COUNTIF($Q$2:Q7, "YES"), 4), "st", "nd", "rd", "th"), "")</f>
        <v>4th</v>
      </c>
      <c r="S7" s="14" t="s">
        <v>197</v>
      </c>
      <c r="T7" s="14" t="s">
        <v>16</v>
      </c>
      <c r="U7" s="14" t="s">
        <v>164</v>
      </c>
      <c r="V7" s="14" t="s">
        <v>170</v>
      </c>
      <c r="W7" s="14" t="s">
        <v>171</v>
      </c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</row>
    <row r="8" spans="1:118" ht="44" customHeight="1" x14ac:dyDescent="0.35">
      <c r="A8" s="9">
        <f t="shared" si="1"/>
        <v>14</v>
      </c>
      <c r="B8" s="2" t="s">
        <v>32</v>
      </c>
      <c r="C8" s="3" t="s">
        <v>33</v>
      </c>
      <c r="D8" s="3" t="s">
        <v>11</v>
      </c>
      <c r="E8" s="2" t="s">
        <v>53</v>
      </c>
      <c r="F8" s="2" t="s">
        <v>12</v>
      </c>
      <c r="G8" s="2">
        <v>5</v>
      </c>
      <c r="H8" s="2">
        <v>6</v>
      </c>
      <c r="I8" s="2">
        <v>7800</v>
      </c>
      <c r="J8" s="2"/>
      <c r="K8" s="4">
        <v>11200000</v>
      </c>
      <c r="L8" s="2" t="s">
        <v>155</v>
      </c>
      <c r="M8" s="2">
        <v>2006</v>
      </c>
      <c r="N8" s="15"/>
      <c r="O8" s="17" t="str">
        <f>LOWER(SUBSTITUTE(TRIM(C8)," ","-")&amp;"-"&amp;(SUBSTITUTE(TRIM(D8)," ","-")&amp;"-"&amp;E8&amp;"-"&amp;F8))</f>
        <v>14550-big-basin-way-saratoga-ca-95070</v>
      </c>
      <c r="P8" s="21" t="str">
        <f t="shared" si="2"/>
        <v>---</v>
      </c>
      <c r="Q8" s="2"/>
      <c r="R8" s="9" t="str">
        <f>IF(Q8="YES", COUNTIF($Q$2:Q8, "YES") &amp; CHOOSE(MIN(COUNTIF($Q$2:Q8, "YES"), 4), "st", "nd", "rd", "th"), "")</f>
        <v/>
      </c>
      <c r="S8" s="13" t="s">
        <v>196</v>
      </c>
      <c r="T8" s="13" t="s">
        <v>20</v>
      </c>
      <c r="U8" s="13" t="s">
        <v>165</v>
      </c>
      <c r="V8" s="13" t="s">
        <v>171</v>
      </c>
      <c r="W8" s="13" t="s">
        <v>172</v>
      </c>
      <c r="X8" s="13" t="s">
        <v>163</v>
      </c>
      <c r="Y8" s="13" t="s">
        <v>20</v>
      </c>
      <c r="Z8" s="13" t="s">
        <v>165</v>
      </c>
      <c r="AA8" s="13" t="s">
        <v>171</v>
      </c>
      <c r="AB8" s="13" t="s">
        <v>172</v>
      </c>
      <c r="AC8" s="13" t="s">
        <v>163</v>
      </c>
      <c r="AD8" s="13" t="s">
        <v>20</v>
      </c>
      <c r="AE8" s="13" t="s">
        <v>165</v>
      </c>
      <c r="AF8" s="13" t="s">
        <v>171</v>
      </c>
      <c r="AG8" s="13" t="s">
        <v>172</v>
      </c>
      <c r="AH8" s="13" t="s">
        <v>163</v>
      </c>
      <c r="AI8" s="13" t="s">
        <v>20</v>
      </c>
      <c r="AJ8" s="13" t="s">
        <v>165</v>
      </c>
      <c r="AK8" s="13" t="s">
        <v>171</v>
      </c>
      <c r="AL8" s="13" t="s">
        <v>172</v>
      </c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</row>
    <row r="9" spans="1:118" ht="44" customHeight="1" x14ac:dyDescent="0.35">
      <c r="A9" s="20">
        <f t="shared" si="1"/>
        <v>13</v>
      </c>
      <c r="B9" s="5" t="s">
        <v>10</v>
      </c>
      <c r="C9" s="6" t="s">
        <v>34</v>
      </c>
      <c r="D9" s="6" t="s">
        <v>15</v>
      </c>
      <c r="E9" s="5" t="s">
        <v>53</v>
      </c>
      <c r="F9" s="5" t="s">
        <v>35</v>
      </c>
      <c r="G9" s="5">
        <v>4</v>
      </c>
      <c r="H9" s="5">
        <v>5</v>
      </c>
      <c r="I9" s="5">
        <v>6400</v>
      </c>
      <c r="J9" s="5"/>
      <c r="K9" s="7">
        <v>8650000</v>
      </c>
      <c r="L9" s="5" t="s">
        <v>155</v>
      </c>
      <c r="M9" s="5">
        <v>2021</v>
      </c>
      <c r="N9" s="16"/>
      <c r="O9" s="18" t="str">
        <f>LOWER(SUBSTITUTE(TRIM(C9)," ","-")&amp;"-"&amp;(SUBSTITUTE(TRIM(D9)," ","-")&amp;"-"&amp;E9&amp;"-"&amp;F9))</f>
        <v>210-shannon-road-los-gatos-ca-95032</v>
      </c>
      <c r="P9" s="22" t="str">
        <f t="shared" si="2"/>
        <v>---</v>
      </c>
      <c r="Q9" s="5"/>
      <c r="R9" s="10" t="str">
        <f>IF(Q9="YES", COUNTIF($Q$2:Q9, "YES") &amp; CHOOSE(MIN(COUNTIF($Q$2:Q9, "YES"), 4), "st", "nd", "rd", "th"), "")</f>
        <v/>
      </c>
      <c r="S9" s="14" t="s">
        <v>180</v>
      </c>
      <c r="T9" s="14" t="s">
        <v>24</v>
      </c>
      <c r="U9" s="14" t="s">
        <v>170</v>
      </c>
      <c r="V9" s="14" t="s">
        <v>172</v>
      </c>
      <c r="W9" s="14" t="s">
        <v>173</v>
      </c>
      <c r="X9" s="14" t="s">
        <v>164</v>
      </c>
      <c r="Y9" s="14" t="s">
        <v>24</v>
      </c>
      <c r="Z9" s="14" t="s">
        <v>170</v>
      </c>
      <c r="AA9" s="14" t="s">
        <v>172</v>
      </c>
      <c r="AB9" s="14" t="s">
        <v>173</v>
      </c>
      <c r="AC9" s="14" t="s">
        <v>164</v>
      </c>
      <c r="AD9" s="14" t="s">
        <v>24</v>
      </c>
      <c r="AE9" s="14" t="s">
        <v>170</v>
      </c>
      <c r="AF9" s="14" t="s">
        <v>172</v>
      </c>
      <c r="AG9" s="14" t="s">
        <v>173</v>
      </c>
      <c r="AH9" s="14" t="s">
        <v>164</v>
      </c>
      <c r="AI9" s="14" t="s">
        <v>24</v>
      </c>
      <c r="AJ9" s="14" t="s">
        <v>170</v>
      </c>
      <c r="AK9" s="14" t="s">
        <v>172</v>
      </c>
      <c r="AL9" s="14" t="s">
        <v>173</v>
      </c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</row>
    <row r="10" spans="1:118" ht="44" customHeight="1" x14ac:dyDescent="0.35">
      <c r="A10" s="9">
        <f t="shared" si="1"/>
        <v>12</v>
      </c>
      <c r="B10" s="2" t="s">
        <v>17</v>
      </c>
      <c r="C10" s="3" t="s">
        <v>37</v>
      </c>
      <c r="D10" s="3" t="s">
        <v>18</v>
      </c>
      <c r="E10" s="2" t="s">
        <v>53</v>
      </c>
      <c r="F10" s="2" t="s">
        <v>19</v>
      </c>
      <c r="G10" s="2">
        <v>6</v>
      </c>
      <c r="H10" s="2">
        <v>7</v>
      </c>
      <c r="I10" s="2">
        <v>9600</v>
      </c>
      <c r="J10" s="2"/>
      <c r="K10" s="4">
        <v>13800000</v>
      </c>
      <c r="L10" s="2" t="s">
        <v>155</v>
      </c>
      <c r="M10" s="2">
        <v>1945</v>
      </c>
      <c r="N10" s="15"/>
      <c r="O10" s="17" t="str">
        <f>LOWER(SUBSTITUTE(TRIM(C10)," ","-")&amp;"-"&amp;(SUBSTITUTE(TRIM(D10)," ","-")&amp;"-"&amp;E10&amp;"-"&amp;F10))</f>
        <v>16200-greenwood-lane-monte-sereno-ca-95030</v>
      </c>
      <c r="P10" s="21" t="str">
        <f t="shared" si="2"/>
        <v>---</v>
      </c>
      <c r="Q10" s="2"/>
      <c r="R10" s="9" t="str">
        <f>IF(Q10="YES", COUNTIF($Q$2:Q10, "YES") &amp; CHOOSE(MIN(COUNTIF($Q$2:Q10, "YES"), 4), "st", "nd", "rd", "th"), "")</f>
        <v/>
      </c>
      <c r="S10" s="13" t="s">
        <v>181</v>
      </c>
      <c r="T10" s="13" t="s">
        <v>28</v>
      </c>
      <c r="U10" s="13" t="s">
        <v>171</v>
      </c>
      <c r="V10" s="13" t="s">
        <v>173</v>
      </c>
      <c r="W10" s="13" t="s">
        <v>172</v>
      </c>
      <c r="X10" s="13" t="s">
        <v>165</v>
      </c>
      <c r="Y10" s="13" t="s">
        <v>28</v>
      </c>
      <c r="Z10" s="13" t="s">
        <v>171</v>
      </c>
      <c r="AA10" s="13" t="s">
        <v>173</v>
      </c>
      <c r="AB10" s="13" t="s">
        <v>172</v>
      </c>
      <c r="AC10" s="13" t="s">
        <v>165</v>
      </c>
      <c r="AD10" s="13" t="s">
        <v>28</v>
      </c>
      <c r="AE10" s="13" t="s">
        <v>171</v>
      </c>
      <c r="AF10" s="13" t="s">
        <v>173</v>
      </c>
      <c r="AG10" s="13" t="s">
        <v>172</v>
      </c>
      <c r="AH10" s="13" t="s">
        <v>165</v>
      </c>
      <c r="AI10" s="13" t="s">
        <v>28</v>
      </c>
      <c r="AJ10" s="13" t="s">
        <v>171</v>
      </c>
      <c r="AK10" s="13" t="s">
        <v>173</v>
      </c>
      <c r="AL10" s="13" t="s">
        <v>172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</row>
    <row r="11" spans="1:118" ht="44" customHeight="1" x14ac:dyDescent="0.35">
      <c r="A11" s="20">
        <f t="shared" si="1"/>
        <v>11</v>
      </c>
      <c r="B11" s="5" t="s">
        <v>32</v>
      </c>
      <c r="C11" s="6" t="s">
        <v>39</v>
      </c>
      <c r="D11" s="6" t="s">
        <v>40</v>
      </c>
      <c r="E11" s="5" t="s">
        <v>53</v>
      </c>
      <c r="F11" s="5" t="s">
        <v>41</v>
      </c>
      <c r="G11" s="5">
        <v>4</v>
      </c>
      <c r="H11" s="5">
        <v>4.5</v>
      </c>
      <c r="I11" s="5">
        <v>5100</v>
      </c>
      <c r="J11" s="5"/>
      <c r="K11" s="7">
        <v>7950000</v>
      </c>
      <c r="L11" s="5" t="s">
        <v>155</v>
      </c>
      <c r="M11" s="5">
        <v>1950</v>
      </c>
      <c r="N11" s="16"/>
      <c r="O11" s="18" t="str">
        <f>LOWER(SUBSTITUTE(TRIM(C11)," ","-")&amp;"-"&amp;(SUBSTITUTE(TRIM(D11)," ","-")&amp;"-"&amp;E11&amp;"-"&amp;F11))</f>
        <v>389-university-avenue-los-altos-ca-94022</v>
      </c>
      <c r="P11" s="22" t="str">
        <f t="shared" si="2"/>
        <v>---</v>
      </c>
      <c r="Q11" s="5"/>
      <c r="R11" s="10" t="str">
        <f>IF(Q11="YES", COUNTIF($Q$2:Q11, "YES") &amp; CHOOSE(MIN(COUNTIF($Q$2:Q11, "YES"), 4), "st", "nd", "rd", "th"), "")</f>
        <v/>
      </c>
      <c r="S11" s="14" t="s">
        <v>182</v>
      </c>
      <c r="T11" s="14" t="s">
        <v>31</v>
      </c>
      <c r="U11" s="14" t="s">
        <v>172</v>
      </c>
      <c r="V11" s="14" t="s">
        <v>172</v>
      </c>
      <c r="W11" s="14" t="s">
        <v>174</v>
      </c>
      <c r="X11" s="14" t="s">
        <v>170</v>
      </c>
      <c r="Y11" s="14" t="s">
        <v>31</v>
      </c>
      <c r="Z11" s="14" t="s">
        <v>172</v>
      </c>
      <c r="AA11" s="14" t="s">
        <v>172</v>
      </c>
      <c r="AB11" s="14" t="s">
        <v>174</v>
      </c>
      <c r="AC11" s="14" t="s">
        <v>170</v>
      </c>
      <c r="AD11" s="14" t="s">
        <v>31</v>
      </c>
      <c r="AE11" s="14" t="s">
        <v>172</v>
      </c>
      <c r="AF11" s="14" t="s">
        <v>172</v>
      </c>
      <c r="AG11" s="14" t="s">
        <v>174</v>
      </c>
      <c r="AH11" s="14" t="s">
        <v>170</v>
      </c>
      <c r="AI11" s="14" t="s">
        <v>31</v>
      </c>
      <c r="AJ11" s="14" t="s">
        <v>172</v>
      </c>
      <c r="AK11" s="14" t="s">
        <v>172</v>
      </c>
      <c r="AL11" s="14" t="s">
        <v>174</v>
      </c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</row>
    <row r="12" spans="1:118" ht="44" customHeight="1" x14ac:dyDescent="0.35">
      <c r="A12" s="9">
        <f t="shared" si="1"/>
        <v>10</v>
      </c>
      <c r="B12" s="2" t="s">
        <v>10</v>
      </c>
      <c r="C12" s="3" t="s">
        <v>42</v>
      </c>
      <c r="D12" s="3" t="s">
        <v>26</v>
      </c>
      <c r="E12" s="2" t="s">
        <v>53</v>
      </c>
      <c r="F12" s="2" t="s">
        <v>27</v>
      </c>
      <c r="G12" s="2">
        <v>5</v>
      </c>
      <c r="H12" s="2">
        <v>6</v>
      </c>
      <c r="I12" s="2">
        <v>8100</v>
      </c>
      <c r="J12" s="2"/>
      <c r="K12" s="4">
        <v>15200000</v>
      </c>
      <c r="L12" s="2" t="s">
        <v>155</v>
      </c>
      <c r="M12" s="2">
        <v>1940</v>
      </c>
      <c r="N12" s="15"/>
      <c r="O12" s="17" t="str">
        <f>LOWER(SUBSTITUTE(TRIM(C12)," ","-")&amp;"-"&amp;(SUBSTITUTE(TRIM(D12)," ","-")&amp;"-"&amp;E12&amp;"-"&amp;F12))</f>
        <v>1050-waverley-street-palo-alto-ca-94301</v>
      </c>
      <c r="P12" s="21" t="str">
        <f t="shared" si="2"/>
        <v>---</v>
      </c>
      <c r="Q12" s="2"/>
      <c r="R12" s="9" t="str">
        <f>IF(Q12="YES", COUNTIF($Q$2:Q12, "YES") &amp; CHOOSE(MIN(COUNTIF($Q$2:Q12, "YES"), 4), "st", "nd", "rd", "th"), "")</f>
        <v/>
      </c>
      <c r="S12" s="13" t="s">
        <v>183</v>
      </c>
      <c r="T12" s="13" t="s">
        <v>158</v>
      </c>
      <c r="U12" s="13" t="s">
        <v>173</v>
      </c>
      <c r="V12" s="13" t="s">
        <v>174</v>
      </c>
      <c r="W12" s="13" t="s">
        <v>175</v>
      </c>
      <c r="X12" s="13" t="s">
        <v>171</v>
      </c>
      <c r="Y12" s="13" t="s">
        <v>158</v>
      </c>
      <c r="Z12" s="13" t="s">
        <v>173</v>
      </c>
      <c r="AA12" s="13" t="s">
        <v>174</v>
      </c>
      <c r="AB12" s="13" t="s">
        <v>175</v>
      </c>
      <c r="AC12" s="13" t="s">
        <v>171</v>
      </c>
      <c r="AD12" s="13" t="s">
        <v>158</v>
      </c>
      <c r="AE12" s="13" t="s">
        <v>173</v>
      </c>
      <c r="AF12" s="13" t="s">
        <v>174</v>
      </c>
      <c r="AG12" s="13" t="s">
        <v>175</v>
      </c>
      <c r="AH12" s="13" t="s">
        <v>171</v>
      </c>
      <c r="AI12" s="13" t="s">
        <v>158</v>
      </c>
      <c r="AJ12" s="13" t="s">
        <v>173</v>
      </c>
      <c r="AK12" s="13" t="s">
        <v>174</v>
      </c>
      <c r="AL12" s="13" t="s">
        <v>175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</row>
    <row r="13" spans="1:118" ht="44" customHeight="1" x14ac:dyDescent="0.35">
      <c r="A13" s="20">
        <f t="shared" si="1"/>
        <v>9</v>
      </c>
      <c r="B13" s="5" t="s">
        <v>17</v>
      </c>
      <c r="C13" s="6" t="s">
        <v>43</v>
      </c>
      <c r="D13" s="6" t="s">
        <v>22</v>
      </c>
      <c r="E13" s="5" t="s">
        <v>53</v>
      </c>
      <c r="F13" s="5" t="s">
        <v>23</v>
      </c>
      <c r="G13" s="5">
        <v>4</v>
      </c>
      <c r="H13" s="5">
        <v>5</v>
      </c>
      <c r="I13" s="5">
        <v>5300</v>
      </c>
      <c r="J13" s="5"/>
      <c r="K13" s="7">
        <v>6450000</v>
      </c>
      <c r="L13" s="5" t="s">
        <v>155</v>
      </c>
      <c r="M13" s="5">
        <v>1931</v>
      </c>
      <c r="N13" s="16"/>
      <c r="O13" s="18" t="str">
        <f>LOWER(SUBSTITUTE(TRIM(C13)," ","-")&amp;"-"&amp;(SUBSTITUTE(TRIM(D13)," ","-")&amp;"-"&amp;E13&amp;"-"&amp;F13))</f>
        <v>6220-country-club-pkwy-san-jose-ca-95138</v>
      </c>
      <c r="P13" s="22" t="str">
        <f t="shared" si="2"/>
        <v>---</v>
      </c>
      <c r="Q13" s="5"/>
      <c r="R13" s="10" t="str">
        <f>IF(Q13="YES", COUNTIF($Q$2:Q13, "YES") &amp; CHOOSE(MIN(COUNTIF($Q$2:Q13, "YES"), 4), "st", "nd", "rd", "th"), "")</f>
        <v/>
      </c>
      <c r="S13" s="14" t="s">
        <v>184</v>
      </c>
      <c r="T13" s="14" t="s">
        <v>159</v>
      </c>
      <c r="U13" s="14" t="s">
        <v>172</v>
      </c>
      <c r="V13" s="14" t="s">
        <v>175</v>
      </c>
      <c r="W13" s="14" t="s">
        <v>176</v>
      </c>
      <c r="X13" s="14" t="s">
        <v>172</v>
      </c>
      <c r="Y13" s="14" t="s">
        <v>159</v>
      </c>
      <c r="Z13" s="14" t="s">
        <v>172</v>
      </c>
      <c r="AA13" s="14" t="s">
        <v>175</v>
      </c>
      <c r="AB13" s="14" t="s">
        <v>176</v>
      </c>
      <c r="AC13" s="14" t="s">
        <v>172</v>
      </c>
      <c r="AD13" s="14" t="s">
        <v>159</v>
      </c>
      <c r="AE13" s="14" t="s">
        <v>172</v>
      </c>
      <c r="AF13" s="14" t="s">
        <v>175</v>
      </c>
      <c r="AG13" s="14" t="s">
        <v>176</v>
      </c>
      <c r="AH13" s="14" t="s">
        <v>172</v>
      </c>
      <c r="AI13" s="14" t="s">
        <v>159</v>
      </c>
      <c r="AJ13" s="14" t="s">
        <v>172</v>
      </c>
      <c r="AK13" s="14" t="s">
        <v>175</v>
      </c>
      <c r="AL13" s="14" t="s">
        <v>176</v>
      </c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</row>
    <row r="14" spans="1:118" ht="44" customHeight="1" x14ac:dyDescent="0.35">
      <c r="A14" s="9">
        <f t="shared" si="1"/>
        <v>8</v>
      </c>
      <c r="B14" s="2" t="s">
        <v>10</v>
      </c>
      <c r="C14" s="3" t="s">
        <v>44</v>
      </c>
      <c r="D14" s="3" t="s">
        <v>11</v>
      </c>
      <c r="E14" s="2" t="s">
        <v>53</v>
      </c>
      <c r="F14" s="2" t="s">
        <v>12</v>
      </c>
      <c r="G14" s="2">
        <v>5</v>
      </c>
      <c r="H14" s="2">
        <v>6.5</v>
      </c>
      <c r="I14" s="2">
        <v>7650</v>
      </c>
      <c r="J14" s="2"/>
      <c r="K14" s="4">
        <v>10950000</v>
      </c>
      <c r="L14" s="2" t="s">
        <v>155</v>
      </c>
      <c r="M14" s="2">
        <v>1950</v>
      </c>
      <c r="N14" s="15"/>
      <c r="O14" s="17" t="str">
        <f>LOWER(SUBSTITUTE(TRIM(C14)," ","-")&amp;"-"&amp;(SUBSTITUTE(TRIM(D14)," ","-")&amp;"-"&amp;E14&amp;"-"&amp;F14))</f>
        <v>19540-glen-una-drive-saratoga-ca-95070</v>
      </c>
      <c r="P14" s="21" t="str">
        <f t="shared" si="2"/>
        <v>---</v>
      </c>
      <c r="Q14" s="2"/>
      <c r="R14" s="9" t="str">
        <f>IF(Q14="YES", COUNTIF($Q$2:Q14, "YES") &amp; CHOOSE(MIN(COUNTIF($Q$2:Q14, "YES"), 4), "st", "nd", "rd", "th"), "")</f>
        <v/>
      </c>
      <c r="S14" s="13" t="s">
        <v>185</v>
      </c>
      <c r="T14" s="13" t="s">
        <v>160</v>
      </c>
      <c r="U14" s="13" t="s">
        <v>174</v>
      </c>
      <c r="V14" s="13" t="s">
        <v>176</v>
      </c>
      <c r="W14" s="13" t="s">
        <v>177</v>
      </c>
      <c r="X14" s="13" t="s">
        <v>173</v>
      </c>
      <c r="Y14" s="13" t="s">
        <v>160</v>
      </c>
      <c r="Z14" s="13" t="s">
        <v>174</v>
      </c>
      <c r="AA14" s="13" t="s">
        <v>176</v>
      </c>
      <c r="AB14" s="13" t="s">
        <v>177</v>
      </c>
      <c r="AC14" s="13" t="s">
        <v>173</v>
      </c>
      <c r="AD14" s="13" t="s">
        <v>160</v>
      </c>
      <c r="AE14" s="13" t="s">
        <v>174</v>
      </c>
      <c r="AF14" s="13" t="s">
        <v>176</v>
      </c>
      <c r="AG14" s="13" t="s">
        <v>177</v>
      </c>
      <c r="AH14" s="13" t="s">
        <v>173</v>
      </c>
      <c r="AI14" s="13" t="s">
        <v>160</v>
      </c>
      <c r="AJ14" s="13" t="s">
        <v>174</v>
      </c>
      <c r="AK14" s="13" t="s">
        <v>176</v>
      </c>
      <c r="AL14" s="13" t="s">
        <v>177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</row>
    <row r="15" spans="1:118" ht="44" customHeight="1" x14ac:dyDescent="0.35">
      <c r="A15" s="20">
        <f t="shared" si="1"/>
        <v>7</v>
      </c>
      <c r="B15" s="5" t="s">
        <v>10</v>
      </c>
      <c r="C15" s="6" t="s">
        <v>45</v>
      </c>
      <c r="D15" s="6" t="s">
        <v>15</v>
      </c>
      <c r="E15" s="5" t="s">
        <v>53</v>
      </c>
      <c r="F15" s="5" t="s">
        <v>35</v>
      </c>
      <c r="G15" s="5">
        <v>4</v>
      </c>
      <c r="H15" s="5">
        <v>4.5</v>
      </c>
      <c r="I15" s="5">
        <v>4920</v>
      </c>
      <c r="J15" s="5"/>
      <c r="K15" s="7">
        <v>5850000</v>
      </c>
      <c r="L15" s="5" t="s">
        <v>155</v>
      </c>
      <c r="M15" s="5">
        <v>1960</v>
      </c>
      <c r="N15" s="16"/>
      <c r="O15" s="18" t="str">
        <f>LOWER(SUBSTITUTE(TRIM(C15)," ","-")&amp;"-"&amp;(SUBSTITUTE(TRIM(D15)," ","-")&amp;"-"&amp;E15&amp;"-"&amp;F15))</f>
        <v>15420-francis-oaks-way-los-gatos-ca-95032</v>
      </c>
      <c r="P15" s="22" t="str">
        <f t="shared" si="2"/>
        <v>---</v>
      </c>
      <c r="Q15" s="5"/>
      <c r="R15" s="10" t="str">
        <f>IF(Q15="YES", COUNTIF($Q$2:Q15, "YES") &amp; CHOOSE(MIN(COUNTIF($Q$2:Q15, "YES"), 4), "st", "nd", "rd", "th"), "")</f>
        <v/>
      </c>
      <c r="S15" s="14" t="s">
        <v>186</v>
      </c>
      <c r="T15" s="14" t="s">
        <v>161</v>
      </c>
      <c r="U15" s="14" t="s">
        <v>175</v>
      </c>
      <c r="V15" s="14" t="s">
        <v>177</v>
      </c>
      <c r="W15" s="14" t="s">
        <v>178</v>
      </c>
      <c r="X15" s="14" t="s">
        <v>172</v>
      </c>
      <c r="Y15" s="14" t="s">
        <v>161</v>
      </c>
      <c r="Z15" s="14" t="s">
        <v>175</v>
      </c>
      <c r="AA15" s="14" t="s">
        <v>177</v>
      </c>
      <c r="AB15" s="14" t="s">
        <v>178</v>
      </c>
      <c r="AC15" s="14" t="s">
        <v>172</v>
      </c>
      <c r="AD15" s="14" t="s">
        <v>161</v>
      </c>
      <c r="AE15" s="14" t="s">
        <v>175</v>
      </c>
      <c r="AF15" s="14" t="s">
        <v>177</v>
      </c>
      <c r="AG15" s="14" t="s">
        <v>178</v>
      </c>
      <c r="AH15" s="14" t="s">
        <v>172</v>
      </c>
      <c r="AI15" s="14" t="s">
        <v>161</v>
      </c>
      <c r="AJ15" s="14" t="s">
        <v>175</v>
      </c>
      <c r="AK15" s="14" t="s">
        <v>177</v>
      </c>
      <c r="AL15" s="14" t="s">
        <v>178</v>
      </c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</row>
    <row r="16" spans="1:118" ht="44" customHeight="1" x14ac:dyDescent="0.35">
      <c r="A16" s="9">
        <f t="shared" si="1"/>
        <v>6</v>
      </c>
      <c r="B16" s="2" t="s">
        <v>17</v>
      </c>
      <c r="C16" s="3" t="s">
        <v>46</v>
      </c>
      <c r="D16" s="3" t="s">
        <v>18</v>
      </c>
      <c r="E16" s="2" t="s">
        <v>53</v>
      </c>
      <c r="F16" s="2" t="s">
        <v>19</v>
      </c>
      <c r="G16" s="2">
        <v>4</v>
      </c>
      <c r="H16" s="2">
        <v>4</v>
      </c>
      <c r="I16" s="2">
        <v>4200</v>
      </c>
      <c r="J16" s="2"/>
      <c r="K16" s="4">
        <v>5200000</v>
      </c>
      <c r="L16" s="2" t="s">
        <v>155</v>
      </c>
      <c r="M16" s="2">
        <v>1951</v>
      </c>
      <c r="N16" s="15"/>
      <c r="O16" s="17" t="str">
        <f>LOWER(SUBSTITUTE(TRIM(C16)," ","-")&amp;"-"&amp;(SUBSTITUTE(TRIM(D16)," ","-")&amp;"-"&amp;E16&amp;"-"&amp;F16))</f>
        <v>18230-daves-avenue-monte-sereno-ca-95030</v>
      </c>
      <c r="P16" s="21" t="str">
        <f t="shared" si="2"/>
        <v>---</v>
      </c>
      <c r="Q16" s="2"/>
      <c r="R16" s="9" t="str">
        <f>IF(Q16="YES", COUNTIF($Q$2:Q16, "YES") &amp; CHOOSE(MIN(COUNTIF($Q$2:Q16, "YES"), 4), "st", "nd", "rd", "th"), "")</f>
        <v/>
      </c>
      <c r="S16" s="13" t="s">
        <v>187</v>
      </c>
      <c r="T16" s="13" t="s">
        <v>162</v>
      </c>
      <c r="U16" s="13" t="s">
        <v>176</v>
      </c>
      <c r="V16" s="13" t="s">
        <v>178</v>
      </c>
      <c r="W16" s="13" t="s">
        <v>179</v>
      </c>
      <c r="X16" s="13" t="s">
        <v>174</v>
      </c>
      <c r="Y16" s="13" t="s">
        <v>162</v>
      </c>
      <c r="Z16" s="13" t="s">
        <v>176</v>
      </c>
      <c r="AA16" s="13" t="s">
        <v>178</v>
      </c>
      <c r="AB16" s="13" t="s">
        <v>179</v>
      </c>
      <c r="AC16" s="13" t="s">
        <v>174</v>
      </c>
      <c r="AD16" s="13" t="s">
        <v>162</v>
      </c>
      <c r="AE16" s="13" t="s">
        <v>176</v>
      </c>
      <c r="AF16" s="13" t="s">
        <v>178</v>
      </c>
      <c r="AG16" s="13" t="s">
        <v>179</v>
      </c>
      <c r="AH16" s="13" t="s">
        <v>174</v>
      </c>
      <c r="AI16" s="13" t="s">
        <v>162</v>
      </c>
      <c r="AJ16" s="13" t="s">
        <v>176</v>
      </c>
      <c r="AK16" s="13" t="s">
        <v>178</v>
      </c>
      <c r="AL16" s="13" t="s">
        <v>179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</row>
    <row r="17" spans="1:118" ht="44" customHeight="1" x14ac:dyDescent="0.35">
      <c r="A17" s="20">
        <f t="shared" si="1"/>
        <v>5</v>
      </c>
      <c r="B17" s="5" t="s">
        <v>10</v>
      </c>
      <c r="C17" s="6" t="s">
        <v>47</v>
      </c>
      <c r="D17" s="6" t="s">
        <v>11</v>
      </c>
      <c r="E17" s="5" t="s">
        <v>53</v>
      </c>
      <c r="F17" s="5" t="s">
        <v>12</v>
      </c>
      <c r="G17" s="5">
        <v>6</v>
      </c>
      <c r="H17" s="5">
        <v>7</v>
      </c>
      <c r="I17" s="5">
        <v>8800</v>
      </c>
      <c r="J17" s="5"/>
      <c r="K17" s="7">
        <v>12900000</v>
      </c>
      <c r="L17" s="5" t="s">
        <v>155</v>
      </c>
      <c r="M17" s="5">
        <v>2023</v>
      </c>
      <c r="N17" s="16"/>
      <c r="O17" s="18" t="str">
        <f>LOWER(SUBSTITUTE(TRIM(C17)," ","-")&amp;"-"&amp;(SUBSTITUTE(TRIM(D17)," ","-")&amp;"-"&amp;E17&amp;"-"&amp;F17))</f>
        <v>23000-congress-springs-rd-saratoga-ca-95070</v>
      </c>
      <c r="P17" s="22" t="str">
        <f t="shared" si="2"/>
        <v>---</v>
      </c>
      <c r="Q17" s="5"/>
      <c r="R17" s="10" t="str">
        <f>IF(Q17="YES", COUNTIF($Q$2:Q17, "YES") &amp; CHOOSE(MIN(COUNTIF($Q$2:Q17, "YES"), 4), "st", "nd", "rd", "th"), "")</f>
        <v/>
      </c>
      <c r="S17" s="14" t="s">
        <v>188</v>
      </c>
      <c r="T17" s="14" t="s">
        <v>163</v>
      </c>
      <c r="U17" s="14" t="s">
        <v>177</v>
      </c>
      <c r="V17" s="14" t="s">
        <v>179</v>
      </c>
      <c r="W17" s="14" t="s">
        <v>157</v>
      </c>
      <c r="X17" s="14" t="s">
        <v>175</v>
      </c>
      <c r="Y17" s="14" t="s">
        <v>163</v>
      </c>
      <c r="Z17" s="14" t="s">
        <v>177</v>
      </c>
      <c r="AA17" s="14" t="s">
        <v>179</v>
      </c>
      <c r="AB17" s="14" t="s">
        <v>157</v>
      </c>
      <c r="AC17" s="14" t="s">
        <v>175</v>
      </c>
      <c r="AD17" s="14" t="s">
        <v>163</v>
      </c>
      <c r="AE17" s="14" t="s">
        <v>177</v>
      </c>
      <c r="AF17" s="14" t="s">
        <v>179</v>
      </c>
      <c r="AG17" s="14" t="s">
        <v>157</v>
      </c>
      <c r="AH17" s="14" t="s">
        <v>175</v>
      </c>
      <c r="AI17" s="14" t="s">
        <v>163</v>
      </c>
      <c r="AJ17" s="14" t="s">
        <v>177</v>
      </c>
      <c r="AK17" s="14" t="s">
        <v>179</v>
      </c>
      <c r="AL17" s="14" t="s">
        <v>157</v>
      </c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</row>
    <row r="18" spans="1:118" ht="44" customHeight="1" x14ac:dyDescent="0.35">
      <c r="A18" s="9">
        <f t="shared" si="1"/>
        <v>4</v>
      </c>
      <c r="B18" s="2" t="s">
        <v>32</v>
      </c>
      <c r="C18" s="3" t="s">
        <v>48</v>
      </c>
      <c r="D18" s="3" t="s">
        <v>40</v>
      </c>
      <c r="E18" s="2" t="s">
        <v>53</v>
      </c>
      <c r="F18" s="2" t="s">
        <v>41</v>
      </c>
      <c r="G18" s="2">
        <v>5</v>
      </c>
      <c r="H18" s="2">
        <v>5.5</v>
      </c>
      <c r="I18" s="2">
        <v>6100</v>
      </c>
      <c r="J18" s="2"/>
      <c r="K18" s="4">
        <v>9400000</v>
      </c>
      <c r="L18" s="2" t="s">
        <v>155</v>
      </c>
      <c r="M18" s="2">
        <v>1997</v>
      </c>
      <c r="N18" s="15"/>
      <c r="O18" s="17" t="str">
        <f>LOWER(SUBSTITUTE(TRIM(C18)," ","-")&amp;"-"&amp;(SUBSTITUTE(TRIM(D18)," ","-")&amp;"-"&amp;E18&amp;"-"&amp;F18))</f>
        <v>750-university-avenue-los-altos-ca-94022</v>
      </c>
      <c r="P18" s="21" t="str">
        <f t="shared" si="2"/>
        <v>---</v>
      </c>
      <c r="Q18" s="2"/>
      <c r="R18" s="9" t="str">
        <f>IF(Q18="YES", COUNTIF($Q$2:Q18, "YES") &amp; CHOOSE(MIN(COUNTIF($Q$2:Q18, "YES"), 4), "st", "nd", "rd", "th"), "")</f>
        <v/>
      </c>
      <c r="S18" s="13" t="s">
        <v>189</v>
      </c>
      <c r="T18" s="13" t="s">
        <v>164</v>
      </c>
      <c r="U18" s="13" t="s">
        <v>178</v>
      </c>
      <c r="V18" s="13" t="s">
        <v>157</v>
      </c>
      <c r="W18" s="13" t="s">
        <v>158</v>
      </c>
      <c r="X18" s="13" t="s">
        <v>176</v>
      </c>
      <c r="Y18" s="13" t="s">
        <v>164</v>
      </c>
      <c r="Z18" s="13" t="s">
        <v>178</v>
      </c>
      <c r="AA18" s="13" t="s">
        <v>157</v>
      </c>
      <c r="AB18" s="13" t="s">
        <v>158</v>
      </c>
      <c r="AC18" s="13" t="s">
        <v>176</v>
      </c>
      <c r="AD18" s="13" t="s">
        <v>164</v>
      </c>
      <c r="AE18" s="13" t="s">
        <v>178</v>
      </c>
      <c r="AF18" s="13" t="s">
        <v>157</v>
      </c>
      <c r="AG18" s="13" t="s">
        <v>158</v>
      </c>
      <c r="AH18" s="13" t="s">
        <v>176</v>
      </c>
      <c r="AI18" s="13" t="s">
        <v>164</v>
      </c>
      <c r="AJ18" s="13" t="s">
        <v>178</v>
      </c>
      <c r="AK18" s="13" t="s">
        <v>157</v>
      </c>
      <c r="AL18" s="13" t="s">
        <v>158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</row>
    <row r="19" spans="1:118" ht="44" customHeight="1" x14ac:dyDescent="0.35">
      <c r="A19" s="20">
        <f t="shared" si="1"/>
        <v>3</v>
      </c>
      <c r="B19" s="5" t="s">
        <v>32</v>
      </c>
      <c r="C19" s="6" t="s">
        <v>49</v>
      </c>
      <c r="D19" s="6" t="s">
        <v>15</v>
      </c>
      <c r="E19" s="5" t="s">
        <v>53</v>
      </c>
      <c r="F19" s="5" t="s">
        <v>35</v>
      </c>
      <c r="G19" s="5">
        <v>4</v>
      </c>
      <c r="H19" s="5">
        <v>4</v>
      </c>
      <c r="I19" s="5">
        <v>4800</v>
      </c>
      <c r="J19" s="5"/>
      <c r="K19" s="7">
        <v>6150000</v>
      </c>
      <c r="L19" s="5" t="s">
        <v>155</v>
      </c>
      <c r="M19" s="5">
        <v>1994</v>
      </c>
      <c r="N19" s="16"/>
      <c r="O19" s="18" t="str">
        <f>LOWER(SUBSTITUTE(TRIM(C19)," ","-")&amp;"-"&amp;(SUBSTITUTE(TRIM(D19)," ","-")&amp;"-"&amp;E19&amp;"-"&amp;F19))</f>
        <v>16100-kennedy-road-los-gatos-ca-95032</v>
      </c>
      <c r="P19" s="22" t="str">
        <f t="shared" si="2"/>
        <v>---</v>
      </c>
      <c r="Q19" s="5"/>
      <c r="R19" s="10" t="str">
        <f>IF(Q19="YES", COUNTIF($Q$2:Q19, "YES") &amp; CHOOSE(MIN(COUNTIF($Q$2:Q19, "YES"), 4), "st", "nd", "rd", "th"), "")</f>
        <v/>
      </c>
      <c r="S19" s="14" t="s">
        <v>190</v>
      </c>
      <c r="T19" s="14" t="s">
        <v>165</v>
      </c>
      <c r="U19" s="14" t="s">
        <v>179</v>
      </c>
      <c r="V19" s="14" t="s">
        <v>158</v>
      </c>
      <c r="W19" s="14" t="s">
        <v>159</v>
      </c>
      <c r="X19" s="14" t="s">
        <v>177</v>
      </c>
      <c r="Y19" s="14" t="s">
        <v>165</v>
      </c>
      <c r="Z19" s="14" t="s">
        <v>179</v>
      </c>
      <c r="AA19" s="14" t="s">
        <v>158</v>
      </c>
      <c r="AB19" s="14" t="s">
        <v>159</v>
      </c>
      <c r="AC19" s="14" t="s">
        <v>177</v>
      </c>
      <c r="AD19" s="14" t="s">
        <v>165</v>
      </c>
      <c r="AE19" s="14" t="s">
        <v>179</v>
      </c>
      <c r="AF19" s="14" t="s">
        <v>158</v>
      </c>
      <c r="AG19" s="14" t="s">
        <v>159</v>
      </c>
      <c r="AH19" s="14" t="s">
        <v>177</v>
      </c>
      <c r="AI19" s="14" t="s">
        <v>165</v>
      </c>
      <c r="AJ19" s="14" t="s">
        <v>179</v>
      </c>
      <c r="AK19" s="14" t="s">
        <v>158</v>
      </c>
      <c r="AL19" s="14" t="s">
        <v>159</v>
      </c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</row>
    <row r="20" spans="1:118" ht="44" customHeight="1" x14ac:dyDescent="0.35">
      <c r="A20" s="9">
        <f t="shared" si="1"/>
        <v>2</v>
      </c>
      <c r="B20" s="2" t="s">
        <v>10</v>
      </c>
      <c r="C20" s="3" t="s">
        <v>50</v>
      </c>
      <c r="D20" s="3" t="s">
        <v>22</v>
      </c>
      <c r="E20" s="2" t="s">
        <v>53</v>
      </c>
      <c r="F20" s="2" t="s">
        <v>30</v>
      </c>
      <c r="G20" s="2">
        <v>5</v>
      </c>
      <c r="H20" s="2">
        <v>5</v>
      </c>
      <c r="I20" s="2">
        <v>5600</v>
      </c>
      <c r="J20" s="2"/>
      <c r="K20" s="4">
        <v>5750000</v>
      </c>
      <c r="L20" s="2" t="s">
        <v>155</v>
      </c>
      <c r="M20" s="2">
        <v>1980</v>
      </c>
      <c r="N20" s="15"/>
      <c r="O20" s="17" t="str">
        <f>LOWER(SUBSTITUTE(TRIM(C20)," ","-")&amp;"-"&amp;(SUBSTITUTE(TRIM(D20)," ","-")&amp;"-"&amp;E20&amp;"-"&amp;F20))</f>
        <v>21540-almaden-road-san-jose-ca-95120</v>
      </c>
      <c r="P20" s="21" t="str">
        <f t="shared" si="2"/>
        <v>---</v>
      </c>
      <c r="Q20" s="2"/>
      <c r="R20" s="9" t="str">
        <f>IF(Q20="YES", COUNTIF($Q$2:Q20, "YES") &amp; CHOOSE(MIN(COUNTIF($Q$2:Q20, "YES"), 4), "st", "nd", "rd", "th"), "")</f>
        <v/>
      </c>
      <c r="S20" s="13" t="s">
        <v>189</v>
      </c>
      <c r="T20" s="13" t="s">
        <v>170</v>
      </c>
      <c r="U20" s="13" t="s">
        <v>157</v>
      </c>
      <c r="V20" s="13" t="s">
        <v>159</v>
      </c>
      <c r="W20" s="13" t="s">
        <v>160</v>
      </c>
      <c r="X20" s="13" t="s">
        <v>178</v>
      </c>
      <c r="Y20" s="13" t="s">
        <v>170</v>
      </c>
      <c r="Z20" s="13" t="s">
        <v>157</v>
      </c>
      <c r="AA20" s="13" t="s">
        <v>159</v>
      </c>
      <c r="AB20" s="13" t="s">
        <v>160</v>
      </c>
      <c r="AC20" s="13" t="s">
        <v>178</v>
      </c>
      <c r="AD20" s="13" t="s">
        <v>170</v>
      </c>
      <c r="AE20" s="13" t="s">
        <v>157</v>
      </c>
      <c r="AF20" s="13" t="s">
        <v>159</v>
      </c>
      <c r="AG20" s="13" t="s">
        <v>160</v>
      </c>
      <c r="AH20" s="13" t="s">
        <v>178</v>
      </c>
      <c r="AI20" s="13" t="s">
        <v>170</v>
      </c>
      <c r="AJ20" s="13" t="s">
        <v>157</v>
      </c>
      <c r="AK20" s="13" t="s">
        <v>159</v>
      </c>
      <c r="AL20" s="13" t="s">
        <v>160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</row>
    <row r="21" spans="1:118" ht="44" customHeight="1" x14ac:dyDescent="0.35">
      <c r="A21" s="20">
        <f t="shared" si="1"/>
        <v>1</v>
      </c>
      <c r="B21" s="5" t="s">
        <v>32</v>
      </c>
      <c r="C21" s="6" t="s">
        <v>51</v>
      </c>
      <c r="D21" s="6" t="s">
        <v>26</v>
      </c>
      <c r="E21" s="5" t="s">
        <v>53</v>
      </c>
      <c r="F21" s="5" t="s">
        <v>52</v>
      </c>
      <c r="G21" s="5">
        <v>4</v>
      </c>
      <c r="H21" s="5">
        <v>4.5</v>
      </c>
      <c r="I21" s="5">
        <v>4350</v>
      </c>
      <c r="J21" s="5"/>
      <c r="K21" s="7">
        <v>6800000</v>
      </c>
      <c r="L21" s="5" t="s">
        <v>155</v>
      </c>
      <c r="M21" s="5">
        <v>1951</v>
      </c>
      <c r="N21" s="16"/>
      <c r="O21" s="18" t="str">
        <f>LOWER(SUBSTITUTE(TRIM(C21)," ","-")&amp;"-"&amp;(SUBSTITUTE(TRIM(D21)," ","-")&amp;"-"&amp;E21&amp;"-"&amp;F21))</f>
        <v>4120-miranda-avenue-palo-alto-ca-94306</v>
      </c>
      <c r="P21" s="22" t="str">
        <f t="shared" si="2"/>
        <v>---</v>
      </c>
      <c r="Q21" s="5"/>
      <c r="R21" s="10" t="str">
        <f>IF(Q21="YES", COUNTIF($Q$2:Q21, "YES") &amp; CHOOSE(MIN(COUNTIF($Q$2:Q21, "YES"), 4), "st", "nd", "rd", "th"), "")</f>
        <v/>
      </c>
      <c r="S21" s="14" t="s">
        <v>190</v>
      </c>
      <c r="T21" s="14" t="s">
        <v>163</v>
      </c>
      <c r="U21" s="14" t="s">
        <v>158</v>
      </c>
      <c r="V21" s="14" t="s">
        <v>160</v>
      </c>
      <c r="W21" s="14" t="s">
        <v>161</v>
      </c>
      <c r="X21" s="14" t="s">
        <v>179</v>
      </c>
      <c r="Y21" s="14" t="s">
        <v>163</v>
      </c>
      <c r="Z21" s="14" t="s">
        <v>158</v>
      </c>
      <c r="AA21" s="14" t="s">
        <v>160</v>
      </c>
      <c r="AB21" s="14" t="s">
        <v>161</v>
      </c>
      <c r="AC21" s="14" t="s">
        <v>179</v>
      </c>
      <c r="AD21" s="14" t="s">
        <v>163</v>
      </c>
      <c r="AE21" s="14" t="s">
        <v>158</v>
      </c>
      <c r="AF21" s="14" t="s">
        <v>160</v>
      </c>
      <c r="AG21" s="14" t="s">
        <v>161</v>
      </c>
      <c r="AH21" s="14" t="s">
        <v>179</v>
      </c>
      <c r="AI21" s="14" t="s">
        <v>163</v>
      </c>
      <c r="AJ21" s="14" t="s">
        <v>158</v>
      </c>
      <c r="AK21" s="14" t="s">
        <v>160</v>
      </c>
      <c r="AL21" s="14" t="s">
        <v>161</v>
      </c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Yap</cp:lastModifiedBy>
  <dcterms:created xsi:type="dcterms:W3CDTF">2026-10-12T09:57:41Z</dcterms:created>
  <dcterms:modified xsi:type="dcterms:W3CDTF">2026-10-21T12:31:31Z</dcterms:modified>
</cp:coreProperties>
</file>