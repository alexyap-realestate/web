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2oontherock8\Projects\alexyaphomes\src\data\"/>
    </mc:Choice>
  </mc:AlternateContent>
  <xr:revisionPtr revIDLastSave="0" documentId="13_ncr:1_{B6E8AF95-31F7-4DCA-A682-3BE7EBF4D2A6}" xr6:coauthVersionLast="47" xr6:coauthVersionMax="47" xr10:uidLastSave="{00000000-0000-0000-0000-000000000000}"/>
  <bookViews>
    <workbookView xWindow="8470" yWindow="4260" windowWidth="26820" windowHeight="15890" xr2:uid="{00000000-000D-0000-FFFF-FFFF00000000}"/>
  </bookViews>
  <sheets>
    <sheet name="Proper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3" i="1"/>
  <c r="I2" i="1"/>
  <c r="H8" i="1"/>
  <c r="H7" i="1"/>
  <c r="H6" i="1"/>
  <c r="H5" i="1"/>
  <c r="H4" i="1"/>
  <c r="I4" i="1" s="1"/>
  <c r="H3" i="1"/>
  <c r="H2" i="1"/>
  <c r="A8" i="1"/>
  <c r="A7" i="1" s="1"/>
  <c r="A6" i="1" s="1"/>
  <c r="A5" i="1" s="1"/>
  <c r="A4" i="1" s="1"/>
  <c r="A3" i="1" s="1"/>
  <c r="A2" i="1" s="1"/>
</calcChain>
</file>

<file path=xl/sharedStrings.xml><?xml version="1.0" encoding="utf-8"?>
<sst xmlns="http://schemas.openxmlformats.org/spreadsheetml/2006/main" count="68" uniqueCount="38">
  <si>
    <t>address</t>
  </si>
  <si>
    <t>city</t>
  </si>
  <si>
    <t>state</t>
  </si>
  <si>
    <t>zip</t>
  </si>
  <si>
    <t>Saratoga</t>
  </si>
  <si>
    <t>95070</t>
  </si>
  <si>
    <t>3271 Silver Creek Vista</t>
  </si>
  <si>
    <t>San Jose</t>
  </si>
  <si>
    <t>95138</t>
  </si>
  <si>
    <t>5045 Crescent Park Manor</t>
  </si>
  <si>
    <t>Palo Alto</t>
  </si>
  <si>
    <t>94301</t>
  </si>
  <si>
    <t>3044 Almaden Country Club</t>
  </si>
  <si>
    <t>95120</t>
  </si>
  <si>
    <t>14550 Big Basin Way</t>
  </si>
  <si>
    <t>CA</t>
  </si>
  <si>
    <t>slug</t>
  </si>
  <si>
    <t>no</t>
  </si>
  <si>
    <t>55 E Hamilton Ave</t>
  </si>
  <si>
    <t>Campbell</t>
  </si>
  <si>
    <t>95008</t>
  </si>
  <si>
    <t>APN</t>
  </si>
  <si>
    <t>123-45-678</t>
  </si>
  <si>
    <t>123-45-611</t>
  </si>
  <si>
    <t>123-45-612</t>
  </si>
  <si>
    <t>123-45-613</t>
  </si>
  <si>
    <t>123-45-614</t>
  </si>
  <si>
    <t>code</t>
  </si>
  <si>
    <t>unit-number</t>
  </si>
  <si>
    <t>123-45-676</t>
  </si>
  <si>
    <t>Claim Your 1% Listing Fee</t>
  </si>
  <si>
    <t>offer-expire</t>
  </si>
  <si>
    <t>offer-headline-1</t>
  </si>
  <si>
    <t>offer-headline-2</t>
  </si>
  <si>
    <t>offer-headline-3</t>
  </si>
  <si>
    <t>Exclusive 1% Offer Expires In</t>
  </si>
  <si>
    <t>Secure full representation, professional staging advisory, and maximum market exposure at an exclusive 1% listing commission.</t>
  </si>
  <si>
    <t>123-45-675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</si>
</sst>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1A1A1A"/>
      <name val="Calibri"/>
      <family val="2"/>
    </font>
    <font>
      <sz val="10"/>
      <color rgb="FF0070C0"/>
      <name val="Calibri"/>
      <family val="2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8F7F4"/>
        <bgColor rgb="FFF8F7F4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E0DED9"/>
      </left>
      <right style="thin">
        <color rgb="FFE0DED9"/>
      </right>
      <top style="thin">
        <color rgb="FFE0DED9"/>
      </top>
      <bottom style="thin">
        <color rgb="FFE0DE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/>
    </xf>
    <xf numFmtId="0" fontId="0" fillId="5" borderId="0" xfId="0" applyFill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6" fillId="5" borderId="0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9" fontId="3" fillId="3" borderId="1" xfId="0" quotePrefix="1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90" zoomScaleNormal="90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6.6328125" customWidth="1"/>
    <col min="2" max="2" width="13.1796875" customWidth="1"/>
    <col min="3" max="3" width="19.26953125" customWidth="1"/>
    <col min="4" max="4" width="11.6328125" customWidth="1"/>
    <col min="5" max="5" width="12.1796875" customWidth="1"/>
    <col min="6" max="6" width="5.1796875" customWidth="1"/>
    <col min="7" max="7" width="6.08984375" customWidth="1"/>
    <col min="8" max="9" width="24.7265625" customWidth="1"/>
    <col min="10" max="10" width="16.453125" customWidth="1"/>
    <col min="11" max="11" width="20.08984375" customWidth="1"/>
    <col min="12" max="12" width="25.36328125" customWidth="1"/>
    <col min="13" max="13" width="71.7265625" customWidth="1"/>
    <col min="14" max="14" width="2.90625" customWidth="1"/>
  </cols>
  <sheetData>
    <row r="1" spans="1:14" ht="60" customHeight="1" x14ac:dyDescent="0.35">
      <c r="A1" s="9" t="s">
        <v>17</v>
      </c>
      <c r="B1" s="19" t="s">
        <v>21</v>
      </c>
      <c r="C1" s="18" t="s">
        <v>0</v>
      </c>
      <c r="D1" s="18" t="s">
        <v>28</v>
      </c>
      <c r="E1" s="18" t="s">
        <v>1</v>
      </c>
      <c r="F1" s="1" t="s">
        <v>2</v>
      </c>
      <c r="G1" s="1" t="s">
        <v>3</v>
      </c>
      <c r="H1" s="14" t="s">
        <v>27</v>
      </c>
      <c r="I1" s="14" t="s">
        <v>16</v>
      </c>
      <c r="J1" s="23" t="s">
        <v>31</v>
      </c>
      <c r="K1" s="8" t="s">
        <v>32</v>
      </c>
      <c r="L1" s="8" t="s">
        <v>33</v>
      </c>
      <c r="M1" s="8" t="s">
        <v>34</v>
      </c>
      <c r="N1" s="13"/>
    </row>
    <row r="2" spans="1:14" ht="44" customHeight="1" x14ac:dyDescent="0.35">
      <c r="A2" s="6">
        <f>MAX(A3:A983) + 1</f>
        <v>7</v>
      </c>
      <c r="B2" s="6" t="s">
        <v>22</v>
      </c>
      <c r="C2" s="15" t="s">
        <v>18</v>
      </c>
      <c r="D2" s="15"/>
      <c r="E2" s="3" t="s">
        <v>19</v>
      </c>
      <c r="F2" s="2" t="s">
        <v>15</v>
      </c>
      <c r="G2" s="2">
        <v>95008</v>
      </c>
      <c r="H2" s="21" t="str">
        <f>UPPER(CHAR(65+MOD(CODE(LEFT(B2,1))+CODE(RIGHT(B2,1))+LEN(B2),26)) &amp; CHAR(65+MOD(CODE(LEFT(C2,1))+LEN(C2),26)) &amp; CHAR(65+MOD(CODE(LEFT(E2,1))+CODE(LEFT(F2,1)),26)) &amp; "-" &amp; TEXT(MOD(ABS(CODE(RIGHT(B2,1))*113 + CODE(MID(B2,7,1))*73 + CODE(LEFT(C2,1))*37 + LEN(D2)*31 + CODE(LEFT(E2,1))*23 + CODE(LEFT(F2,1))*19 + CODE(RIGHT(G2,1))*29),1000),"000"))</f>
        <v>LSE-012</v>
      </c>
      <c r="I2" s="22" t="str">
        <f>UPPER(H2) &amp; "-" &amp; LOWER(SUBSTITUTE(SUBSTITUTE(SUBSTITUTE(SUBSTITUTE(SUBSTITUTE(SUBSTITUTE(SUBSTITUTE(C2 &amp; IF(D2&lt;&gt;"", "-" &amp; D2, "") &amp; "-" &amp; E2 &amp; "-" &amp; F2 &amp; "-" &amp; G2, "%", ""), ",", ""), ".", ""), "#", ""), "'", ""), "/", ""), " ", "-"))</f>
        <v>LSE-012-55-e-hamilton-ave-campbell-ca-95008</v>
      </c>
      <c r="J2" s="25">
        <v>46356</v>
      </c>
      <c r="K2" s="15" t="s">
        <v>30</v>
      </c>
      <c r="L2" s="17" t="s">
        <v>35</v>
      </c>
      <c r="M2" s="15" t="s">
        <v>36</v>
      </c>
      <c r="N2" s="13"/>
    </row>
    <row r="3" spans="1:14" ht="44" customHeight="1" x14ac:dyDescent="0.35">
      <c r="A3" s="10">
        <f>MAX(A4:A984) + 1</f>
        <v>6</v>
      </c>
      <c r="B3" s="20" t="s">
        <v>29</v>
      </c>
      <c r="C3" s="16" t="s">
        <v>18</v>
      </c>
      <c r="D3" s="16"/>
      <c r="E3" s="5" t="s">
        <v>19</v>
      </c>
      <c r="F3" s="4" t="s">
        <v>15</v>
      </c>
      <c r="G3" s="12" t="s">
        <v>20</v>
      </c>
      <c r="H3" s="7" t="str">
        <f t="shared" ref="H3:H8" si="0">UPPER(CHAR(65+MOD(CODE(LEFT(B3,1))+CODE(RIGHT(B3,1))+LEN(B3),26)) &amp; CHAR(65+MOD(CODE(LEFT(C3,1))+LEN(C3),26)) &amp; CHAR(65+MOD(CODE(LEFT(E3,1))+CODE(LEFT(F3,1)),26)) &amp; "-" &amp; TEXT(MOD(ABS(CODE(RIGHT(B3,1))*113 + CODE(MID(B3,7,1))*73 + CODE(LEFT(C3,1))*37 + LEN(D3)*31 + CODE(LEFT(E3,1))*23 + CODE(LEFT(F3,1))*19 + CODE(RIGHT(G3,1))*29),1000),"000"))</f>
        <v>JSE-786</v>
      </c>
      <c r="I3" s="24" t="str">
        <f t="shared" ref="I3:I8" si="1">UPPER(H3) &amp; "-" &amp; LOWER(SUBSTITUTE(SUBSTITUTE(SUBSTITUTE(SUBSTITUTE(SUBSTITUTE(SUBSTITUTE(SUBSTITUTE(C3 &amp; IF(D3&lt;&gt;"", "-" &amp; D3, "") &amp; "-" &amp; E3 &amp; "-" &amp; F3 &amp; "-" &amp; G3, "%", ""), ",", ""), ".", ""), "#", ""), "'", ""), "/", ""), " ", "-"))</f>
        <v>JSE-786-55-e-hamilton-ave-campbell-ca-95008</v>
      </c>
      <c r="J3" s="26">
        <v>46356</v>
      </c>
      <c r="K3" s="16" t="s">
        <v>30</v>
      </c>
      <c r="L3" s="16" t="s">
        <v>35</v>
      </c>
      <c r="M3" s="16" t="s">
        <v>36</v>
      </c>
      <c r="N3" s="13"/>
    </row>
    <row r="4" spans="1:14" ht="44" customHeight="1" x14ac:dyDescent="0.35">
      <c r="A4" s="6">
        <f>MAX(A5:A985) + 1</f>
        <v>5</v>
      </c>
      <c r="B4" s="21" t="s">
        <v>37</v>
      </c>
      <c r="C4" s="17" t="s">
        <v>18</v>
      </c>
      <c r="D4" s="17"/>
      <c r="E4" s="3" t="s">
        <v>19</v>
      </c>
      <c r="F4" s="2" t="s">
        <v>15</v>
      </c>
      <c r="G4" s="2" t="s">
        <v>20</v>
      </c>
      <c r="H4" s="6" t="str">
        <f t="shared" si="0"/>
        <v>ISE-673</v>
      </c>
      <c r="I4" s="11" t="str">
        <f t="shared" si="1"/>
        <v>ISE-673-55-e-hamilton-ave-campbell-ca-95008</v>
      </c>
      <c r="J4" s="27">
        <v>46356</v>
      </c>
      <c r="K4" s="17" t="s">
        <v>30</v>
      </c>
      <c r="L4" s="17" t="s">
        <v>35</v>
      </c>
      <c r="M4" s="17" t="s">
        <v>36</v>
      </c>
      <c r="N4" s="13"/>
    </row>
    <row r="5" spans="1:14" ht="44" customHeight="1" x14ac:dyDescent="0.35">
      <c r="A5" s="10">
        <f>MAX(A6:A986) + 1</f>
        <v>4</v>
      </c>
      <c r="B5" s="20" t="s">
        <v>23</v>
      </c>
      <c r="C5" s="16" t="s">
        <v>6</v>
      </c>
      <c r="D5" s="16"/>
      <c r="E5" s="5" t="s">
        <v>7</v>
      </c>
      <c r="F5" s="4" t="s">
        <v>15</v>
      </c>
      <c r="G5" s="4" t="s">
        <v>8</v>
      </c>
      <c r="H5" s="7" t="str">
        <f t="shared" si="0"/>
        <v>EWU-515</v>
      </c>
      <c r="I5" s="24" t="str">
        <f t="shared" si="1"/>
        <v>EWU-515-3271-silver-creek-vista-san-jose-ca-95138</v>
      </c>
      <c r="J5" s="26">
        <v>46356</v>
      </c>
      <c r="K5" s="16" t="s">
        <v>30</v>
      </c>
      <c r="L5" s="16" t="s">
        <v>35</v>
      </c>
      <c r="M5" s="16" t="s">
        <v>36</v>
      </c>
      <c r="N5" s="13"/>
    </row>
    <row r="6" spans="1:14" ht="44" customHeight="1" x14ac:dyDescent="0.35">
      <c r="A6" s="6">
        <f>MAX(A7:A987) + 1</f>
        <v>3</v>
      </c>
      <c r="B6" s="21" t="s">
        <v>24</v>
      </c>
      <c r="C6" s="17" t="s">
        <v>9</v>
      </c>
      <c r="D6" s="17"/>
      <c r="E6" s="3" t="s">
        <v>10</v>
      </c>
      <c r="F6" s="2" t="s">
        <v>15</v>
      </c>
      <c r="G6" s="2" t="s">
        <v>11</v>
      </c>
      <c r="H6" s="6" t="str">
        <f t="shared" si="0"/>
        <v>FZR-430</v>
      </c>
      <c r="I6" s="11" t="str">
        <f t="shared" si="1"/>
        <v>FZR-430-5045-crescent-park-manor-palo-alto-ca-94301</v>
      </c>
      <c r="J6" s="27">
        <v>46356</v>
      </c>
      <c r="K6" s="17" t="s">
        <v>30</v>
      </c>
      <c r="L6" s="17" t="s">
        <v>35</v>
      </c>
      <c r="M6" s="17" t="s">
        <v>36</v>
      </c>
      <c r="N6" s="13"/>
    </row>
    <row r="7" spans="1:14" ht="44" customHeight="1" x14ac:dyDescent="0.35">
      <c r="A7" s="10">
        <f>MAX(A8:A988) + 1</f>
        <v>2</v>
      </c>
      <c r="B7" s="20" t="s">
        <v>25</v>
      </c>
      <c r="C7" s="16" t="s">
        <v>12</v>
      </c>
      <c r="D7" s="16"/>
      <c r="E7" s="5" t="s">
        <v>7</v>
      </c>
      <c r="F7" s="4" t="s">
        <v>15</v>
      </c>
      <c r="G7" s="4" t="s">
        <v>13</v>
      </c>
      <c r="H7" s="7" t="str">
        <f t="shared" si="0"/>
        <v>GYU-509</v>
      </c>
      <c r="I7" s="24" t="str">
        <f t="shared" si="1"/>
        <v>GYU-509-3044-almaden-country-club-san-jose-ca-95120</v>
      </c>
      <c r="J7" s="26">
        <v>46356</v>
      </c>
      <c r="K7" s="16" t="s">
        <v>30</v>
      </c>
      <c r="L7" s="16" t="s">
        <v>35</v>
      </c>
      <c r="M7" s="16" t="s">
        <v>36</v>
      </c>
      <c r="N7" s="13"/>
    </row>
    <row r="8" spans="1:14" ht="44" customHeight="1" x14ac:dyDescent="0.35">
      <c r="A8" s="6">
        <f>MAX(A9:A989) + 1</f>
        <v>1</v>
      </c>
      <c r="B8" s="21" t="s">
        <v>26</v>
      </c>
      <c r="C8" s="17" t="s">
        <v>14</v>
      </c>
      <c r="D8" s="17"/>
      <c r="E8" s="3" t="s">
        <v>4</v>
      </c>
      <c r="F8" s="2" t="s">
        <v>15</v>
      </c>
      <c r="G8" s="2" t="s">
        <v>5</v>
      </c>
      <c r="H8" s="6" t="str">
        <f t="shared" si="0"/>
        <v>HQU-548</v>
      </c>
      <c r="I8" s="11" t="str">
        <f t="shared" si="1"/>
        <v>HQU-548-14550-big-basin-way-saratoga-ca-95070</v>
      </c>
      <c r="J8" s="27">
        <v>46356</v>
      </c>
      <c r="K8" s="17" t="s">
        <v>30</v>
      </c>
      <c r="L8" s="17" t="s">
        <v>35</v>
      </c>
      <c r="M8" s="17" t="s">
        <v>36</v>
      </c>
      <c r="N8" s="13"/>
    </row>
    <row r="9" spans="1:14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</sheetData>
  <pageMargins left="0.75" right="0.75" top="1" bottom="1" header="0.5" footer="0.5"/>
  <ignoredErrors>
    <ignoredError sqref="G1:G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Yap</cp:lastModifiedBy>
  <dcterms:created xsi:type="dcterms:W3CDTF">2026-10-12T09:57:41Z</dcterms:created>
  <dcterms:modified xsi:type="dcterms:W3CDTF">2026-10-24T07:49:35Z</dcterms:modified>
</cp:coreProperties>
</file>