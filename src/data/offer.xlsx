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54ADD938-A07C-4199-A803-2E76E05A2851}" xr6:coauthVersionLast="47" xr6:coauthVersionMax="47" xr10:uidLastSave="{00000000-0000-0000-0000-000000000000}"/>
  <bookViews>
    <workbookView xWindow="12150" yWindow="3430" windowWidth="2329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N7" i="1"/>
  <c r="N6" i="1"/>
  <c r="N5" i="1"/>
  <c r="N4" i="1"/>
  <c r="N3" i="1"/>
  <c r="N2" i="1"/>
  <c r="O8" i="1"/>
  <c r="O7" i="1"/>
  <c r="O6" i="1"/>
  <c r="O5" i="1"/>
  <c r="O4" i="1"/>
  <c r="O3" i="1"/>
  <c r="O2" i="1"/>
  <c r="M8" i="1"/>
  <c r="M7" i="1"/>
  <c r="M6" i="1"/>
  <c r="M5" i="1"/>
  <c r="M4" i="1"/>
  <c r="M3" i="1"/>
  <c r="M2" i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J8" i="1"/>
  <c r="K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<sst xmlns="http://schemas.openxmlformats.org/spreadsheetml/2006/main" count="56" uniqueCount="44">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</sst>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3" borderId="1" xfId="0" quotePrefix="1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0" fontId="2" fillId="3" borderId="1" xfId="1" applyNumberFormat="1" applyFont="1" applyFill="1" applyBorder="1" applyAlignment="1">
      <alignment horizontal="center" vertical="center"/>
    </xf>
    <xf numFmtId="10" fontId="2" fillId="4" borderId="1" xfId="1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"/>
  <sheetViews>
    <sheetView tabSelected="1" topLeftCell="G1" zoomScale="90" zoomScaleNormal="90" workbookViewId="0">
      <pane ySplit="1" topLeftCell="A2" activePane="bottomLeft" state="frozen"/>
      <selection pane="bottomLeft" activeCell="I1" sqref="I1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9" width="13.26953125" customWidth="1"/>
    <col min="10" max="11" width="24.7265625" customWidth="1"/>
    <col min="12" max="12" width="16.453125" customWidth="1"/>
    <col min="13" max="13" width="24.7265625" customWidth="1"/>
    <col min="14" max="14" width="25.36328125" customWidth="1"/>
    <col min="15" max="15" width="71.7265625" customWidth="1"/>
    <col min="16" max="16" width="2.90625" customWidth="1"/>
  </cols>
  <sheetData>
    <row r="1" spans="1:16" ht="60" customHeight="1" x14ac:dyDescent="0.35">
      <c r="A1" s="9" t="s">
        <v>17</v>
      </c>
      <c r="B1" s="19" t="s">
        <v>21</v>
      </c>
      <c r="C1" s="19" t="s">
        <v>35</v>
      </c>
      <c r="D1" s="18" t="s">
        <v>0</v>
      </c>
      <c r="E1" s="18" t="s">
        <v>28</v>
      </c>
      <c r="F1" s="18" t="s">
        <v>1</v>
      </c>
      <c r="G1" s="1" t="s">
        <v>2</v>
      </c>
      <c r="H1" s="1" t="s">
        <v>3</v>
      </c>
      <c r="I1" s="1" t="s">
        <v>43</v>
      </c>
      <c r="J1" s="14" t="s">
        <v>27</v>
      </c>
      <c r="K1" s="14" t="s">
        <v>16</v>
      </c>
      <c r="L1" s="23" t="s">
        <v>30</v>
      </c>
      <c r="M1" s="8" t="s">
        <v>31</v>
      </c>
      <c r="N1" s="8" t="s">
        <v>32</v>
      </c>
      <c r="O1" s="8" t="s">
        <v>33</v>
      </c>
      <c r="P1" s="13"/>
    </row>
    <row r="2" spans="1:16" ht="44" customHeight="1" x14ac:dyDescent="0.35">
      <c r="A2" s="6">
        <f t="shared" ref="A2:A8" si="0">MAX(A3:A983) + 1</f>
        <v>7</v>
      </c>
      <c r="B2" s="6" t="s">
        <v>22</v>
      </c>
      <c r="C2" s="6" t="s">
        <v>36</v>
      </c>
      <c r="D2" s="15" t="s">
        <v>18</v>
      </c>
      <c r="E2" s="15"/>
      <c r="F2" s="3" t="s">
        <v>19</v>
      </c>
      <c r="G2" s="2" t="s">
        <v>15</v>
      </c>
      <c r="H2" s="2">
        <v>95008</v>
      </c>
      <c r="I2" s="28">
        <v>1.2500000000000001E-2</v>
      </c>
      <c r="J2" s="21" t="str">
        <f t="shared" ref="J2:J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K2" s="22" t="str">
        <f>UPPER(J2)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L2" s="25">
        <v>46371</v>
      </c>
      <c r="M2" s="30" t="str">
        <f>"Claim Your "&amp;TEXT(I2, "0.##%")&amp;" Listing Fee"</f>
        <v>Claim Your 1.25% Listing Fee</v>
      </c>
      <c r="N2" s="32" t="str">
        <f>"Exclusive "&amp;TEXT(I2, "0.##%")&amp;" Offer Expires In"</f>
        <v>Exclusive 1.25% Offer Expires In</v>
      </c>
      <c r="O2" s="30" t="str">
        <f>"Secure full representation, professional staging advisory, and maximum market exposure at an exclusive "&amp;TEXT(I2, "0.##%")&amp;" listing commission."</f>
        <v>Secure full representation, professional staging advisory, and maximum market exposure at an exclusive 1.25% listing commission.</v>
      </c>
      <c r="P2" s="13"/>
    </row>
    <row r="3" spans="1:16" ht="44" customHeight="1" x14ac:dyDescent="0.35">
      <c r="A3" s="10">
        <f t="shared" si="0"/>
        <v>6</v>
      </c>
      <c r="B3" s="20" t="s">
        <v>29</v>
      </c>
      <c r="C3" s="20" t="s">
        <v>37</v>
      </c>
      <c r="D3" s="16" t="s">
        <v>18</v>
      </c>
      <c r="E3" s="16"/>
      <c r="F3" s="5" t="s">
        <v>19</v>
      </c>
      <c r="G3" s="4" t="s">
        <v>15</v>
      </c>
      <c r="H3" s="12" t="s">
        <v>20</v>
      </c>
      <c r="I3" s="29">
        <v>1.2500000000000001E-2</v>
      </c>
      <c r="J3" s="7" t="str">
        <f t="shared" si="1"/>
        <v>WAR-581</v>
      </c>
      <c r="K3" s="24" t="str">
        <f t="shared" ref="K3:K8" si="2">UPPER(J3)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L3" s="26">
        <v>46371</v>
      </c>
      <c r="M3" s="31" t="str">
        <f t="shared" ref="M3:M8" si="3">"Claim Your "&amp;TEXT(I3, "0.##%")&amp;" Listing Fee"</f>
        <v>Claim Your 1.25% Listing Fee</v>
      </c>
      <c r="N3" s="31" t="str">
        <f t="shared" ref="N3:N8" si="4">"Exclusive "&amp;TEXT(I3, "0.##%")&amp;" Offer Expires In"</f>
        <v>Exclusive 1.25% Offer Expires In</v>
      </c>
      <c r="O3" s="16" t="str">
        <f t="shared" ref="O3:O8" si="5">"Secure full representation, professional staging advisory, and maximum market exposure at an exclusive "&amp;TEXT(I3, "0.##%")&amp;" listing commission."</f>
        <v>Secure full representation, professional staging advisory, and maximum market exposure at an exclusive 1.25% listing commission.</v>
      </c>
      <c r="P3" s="13"/>
    </row>
    <row r="4" spans="1:16" ht="44" customHeight="1" x14ac:dyDescent="0.35">
      <c r="A4" s="6">
        <f t="shared" si="0"/>
        <v>5</v>
      </c>
      <c r="B4" s="21" t="s">
        <v>34</v>
      </c>
      <c r="C4" s="21" t="s">
        <v>38</v>
      </c>
      <c r="D4" s="17" t="s">
        <v>18</v>
      </c>
      <c r="E4" s="17"/>
      <c r="F4" s="3" t="s">
        <v>19</v>
      </c>
      <c r="G4" s="2" t="s">
        <v>15</v>
      </c>
      <c r="H4" s="2" t="s">
        <v>20</v>
      </c>
      <c r="I4" s="28">
        <v>1.2500000000000001E-2</v>
      </c>
      <c r="J4" s="6" t="str">
        <f t="shared" si="1"/>
        <v>HHD-984</v>
      </c>
      <c r="K4" s="11" t="str">
        <f t="shared" si="2"/>
        <v>HHD-984-55-e-hamilton-ave-campbell-ca-95008</v>
      </c>
      <c r="L4" s="27">
        <v>46371</v>
      </c>
      <c r="M4" s="32" t="str">
        <f t="shared" si="3"/>
        <v>Claim Your 1.25% Listing Fee</v>
      </c>
      <c r="N4" s="32" t="str">
        <f t="shared" si="4"/>
        <v>Exclusive 1.25% Offer Expires In</v>
      </c>
      <c r="O4" s="17" t="str">
        <f t="shared" si="5"/>
        <v>Secure full representation, professional staging advisory, and maximum market exposure at an exclusive 1.25% listing commission.</v>
      </c>
      <c r="P4" s="13"/>
    </row>
    <row r="5" spans="1:16" ht="44" customHeight="1" x14ac:dyDescent="0.35">
      <c r="A5" s="10">
        <f t="shared" si="0"/>
        <v>4</v>
      </c>
      <c r="B5" s="20" t="s">
        <v>23</v>
      </c>
      <c r="C5" s="20" t="s">
        <v>39</v>
      </c>
      <c r="D5" s="16" t="s">
        <v>6</v>
      </c>
      <c r="E5" s="16"/>
      <c r="F5" s="5" t="s">
        <v>7</v>
      </c>
      <c r="G5" s="4" t="s">
        <v>15</v>
      </c>
      <c r="H5" s="4" t="s">
        <v>8</v>
      </c>
      <c r="I5" s="29">
        <v>1.2500000000000001E-2</v>
      </c>
      <c r="J5" s="7" t="str">
        <f t="shared" si="1"/>
        <v>KFA-127</v>
      </c>
      <c r="K5" s="24" t="str">
        <f t="shared" si="2"/>
        <v>KFA-127-3271-silver-creek-vista-san-jose-ca-95138</v>
      </c>
      <c r="L5" s="26">
        <v>46371</v>
      </c>
      <c r="M5" s="31" t="str">
        <f t="shared" si="3"/>
        <v>Claim Your 1.25% Listing Fee</v>
      </c>
      <c r="N5" s="31" t="str">
        <f t="shared" si="4"/>
        <v>Exclusive 1.25% Offer Expires In</v>
      </c>
      <c r="O5" s="16" t="str">
        <f t="shared" si="5"/>
        <v>Secure full representation, professional staging advisory, and maximum market exposure at an exclusive 1.25% listing commission.</v>
      </c>
      <c r="P5" s="13"/>
    </row>
    <row r="6" spans="1:16" ht="44" customHeight="1" x14ac:dyDescent="0.35">
      <c r="A6" s="6">
        <f t="shared" si="0"/>
        <v>3</v>
      </c>
      <c r="B6" s="21" t="s">
        <v>24</v>
      </c>
      <c r="C6" s="21" t="s">
        <v>40</v>
      </c>
      <c r="D6" s="17" t="s">
        <v>9</v>
      </c>
      <c r="E6" s="17"/>
      <c r="F6" s="3" t="s">
        <v>10</v>
      </c>
      <c r="G6" s="2" t="s">
        <v>15</v>
      </c>
      <c r="H6" s="2" t="s">
        <v>11</v>
      </c>
      <c r="I6" s="28">
        <v>1.2500000000000001E-2</v>
      </c>
      <c r="J6" s="6" t="str">
        <f t="shared" si="1"/>
        <v>BJN-612</v>
      </c>
      <c r="K6" s="11" t="str">
        <f t="shared" si="2"/>
        <v>BJN-612-5045-crescent-park-manor-palo-alto-ca-94301</v>
      </c>
      <c r="L6" s="27">
        <v>46371</v>
      </c>
      <c r="M6" s="32" t="str">
        <f t="shared" si="3"/>
        <v>Claim Your 1.25% Listing Fee</v>
      </c>
      <c r="N6" s="32" t="str">
        <f t="shared" si="4"/>
        <v>Exclusive 1.25% Offer Expires In</v>
      </c>
      <c r="O6" s="17" t="str">
        <f t="shared" si="5"/>
        <v>Secure full representation, professional staging advisory, and maximum market exposure at an exclusive 1.25% listing commission.</v>
      </c>
      <c r="P6" s="13"/>
    </row>
    <row r="7" spans="1:16" ht="44" customHeight="1" x14ac:dyDescent="0.35">
      <c r="A7" s="10">
        <f t="shared" si="0"/>
        <v>2</v>
      </c>
      <c r="B7" s="20" t="s">
        <v>25</v>
      </c>
      <c r="C7" s="20" t="s">
        <v>41</v>
      </c>
      <c r="D7" s="16" t="s">
        <v>12</v>
      </c>
      <c r="E7" s="16"/>
      <c r="F7" s="5" t="s">
        <v>7</v>
      </c>
      <c r="G7" s="4" t="s">
        <v>15</v>
      </c>
      <c r="H7" s="4" t="s">
        <v>13</v>
      </c>
      <c r="I7" s="29">
        <v>1.2500000000000001E-2</v>
      </c>
      <c r="J7" s="7" t="str">
        <f t="shared" si="1"/>
        <v>DER-734</v>
      </c>
      <c r="K7" s="24" t="str">
        <f t="shared" si="2"/>
        <v>DER-734-3044-almaden-country-club-san-jose-ca-95120</v>
      </c>
      <c r="L7" s="26">
        <v>46371</v>
      </c>
      <c r="M7" s="31" t="str">
        <f t="shared" si="3"/>
        <v>Claim Your 1.25% Listing Fee</v>
      </c>
      <c r="N7" s="31" t="str">
        <f t="shared" si="4"/>
        <v>Exclusive 1.25% Offer Expires In</v>
      </c>
      <c r="O7" s="16" t="str">
        <f t="shared" si="5"/>
        <v>Secure full representation, professional staging advisory, and maximum market exposure at an exclusive 1.25% listing commission.</v>
      </c>
      <c r="P7" s="13"/>
    </row>
    <row r="8" spans="1:16" ht="44" customHeight="1" x14ac:dyDescent="0.35">
      <c r="A8" s="6">
        <f t="shared" si="0"/>
        <v>1</v>
      </c>
      <c r="B8" s="21" t="s">
        <v>26</v>
      </c>
      <c r="C8" s="21" t="s">
        <v>42</v>
      </c>
      <c r="D8" s="17" t="s">
        <v>14</v>
      </c>
      <c r="E8" s="17"/>
      <c r="F8" s="3" t="s">
        <v>4</v>
      </c>
      <c r="G8" s="2" t="s">
        <v>15</v>
      </c>
      <c r="H8" s="2" t="s">
        <v>5</v>
      </c>
      <c r="I8" s="28">
        <v>1.2500000000000001E-2</v>
      </c>
      <c r="J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K8" s="11" t="str">
        <f t="shared" si="2"/>
        <v>ZCM-558-14550-big-basin-way-saratoga-ca-95070</v>
      </c>
      <c r="L8" s="27">
        <v>46371</v>
      </c>
      <c r="M8" s="32" t="str">
        <f t="shared" si="3"/>
        <v>Claim Your 1.25% Listing Fee</v>
      </c>
      <c r="N8" s="32" t="str">
        <f t="shared" si="4"/>
        <v>Exclusive 1.25% Offer Expires In</v>
      </c>
      <c r="O8" s="17" t="str">
        <f t="shared" si="5"/>
        <v>Secure full representation, professional staging advisory, and maximum market exposure at an exclusive 1.25% listing commission.</v>
      </c>
      <c r="P8" s="13"/>
    </row>
    <row r="9" spans="1:16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2026-10-24T14:02:08Z</dcterms:modified>
</cp:coreProperties>
</file>